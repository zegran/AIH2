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ource_Pool" sheetId="2" state="visible" r:id="rId4"/>
    <sheet name="Background_Excluded" sheetId="3" state="visible" r:id="rId5"/>
    <sheet name="Per_Class_Summary" sheetId="4" state="visible" r:id="rId6"/>
  </sheets>
  <definedNames>
    <definedName function="false" hidden="true" localSheetId="2" name="_xlnm._FilterDatabase" vbProcedure="false">Background_Excluded!$A$1:$K$12</definedName>
    <definedName function="false" hidden="true" localSheetId="1" name="_xlnm._FilterDatabase" vbProcedure="false">Source_Pool!$A$1:$K$72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<sst xmlns="http://schemas.openxmlformats.org/spreadsheetml/2006/main" count="815" uniqueCount="501">
  <si>
    <t xml:space="preserve">AIH2 — WP1 Source Pool</t>
  </si>
  <si>
    <t xml:space="preserve">Aluminum–water hydrolysis literature pool for explainable-ML contradiction analysis</t>
  </si>
  <si>
    <t xml:space="preserve">Built</t>
  </si>
  <si>
    <t xml:space="preserve">2026-06-14</t>
  </si>
  <si>
    <t xml:space="preserve">Discovery engine</t>
  </si>
  <si>
    <t xml:space="preserve">Consensus academic search (Semantic Scholar / PubMed / Scopus / ArXiv backend)</t>
  </si>
  <si>
    <t xml:space="preserve">Search axes</t>
  </si>
  <si>
    <t xml:space="preserve">Particle size · Alkali concentration &amp; temperature · Alloy/activator composition · Waste-Al &amp; activation method · Kinetics/SCM</t>
  </si>
  <si>
    <t xml:space="preserve">Total candidates</t>
  </si>
  <si>
    <t xml:space="preserve">82 studies screened</t>
  </si>
  <si>
    <t xml:space="preserve">IN scope (dataset)</t>
  </si>
  <si>
    <t xml:space="preserve">71 studies → tab 'Source_Pool'</t>
  </si>
  <si>
    <t xml:space="preserve">Background / excluded</t>
  </si>
  <si>
    <t xml:space="preserve">11 studies → tab 'Background_Excluded'</t>
  </si>
  <si>
    <t xml:space="preserve">SCOPE LOCK (from concept foundation)</t>
  </si>
  <si>
    <t xml:space="preserve">IN</t>
  </si>
  <si>
    <t xml:space="preserve">Aqueous Al hydrolysis only: pure Al-alkali, Al-alloy, mechanically activated, liquid-metal-activated, waste Al.</t>
  </si>
  <si>
    <t xml:space="preserve">OUT</t>
  </si>
  <si>
    <t xml:space="preserve">Acid hydrolysis · Al–NaBH4 hybrids · non-aqueous systems.</t>
  </si>
  <si>
    <t xml:space="preserve">Background only</t>
  </si>
  <si>
    <t xml:space="preserve">Mg / other-metal hydrolysis may be CITED for contradiction existence but NO Mg rows enter the dataset.</t>
  </si>
  <si>
    <t xml:space="preserve">system_class levels</t>
  </si>
  <si>
    <t xml:space="preserve">pure_al_alkali · al_alloy · mechanically_activated · liquid_metal_activated · waste_al</t>
  </si>
  <si>
    <t xml:space="preserve">Per-class adequacy rule</t>
  </si>
  <si>
    <t xml:space="preserve">Any system_class with &lt; 40 extracted rows is exploratory-only (SHAP interactions weaken below that).</t>
  </si>
  <si>
    <t xml:space="preserve">Targets</t>
  </si>
  <si>
    <t xml:space="preserve">~300 condition-level rows (range 300–500); hard floor 150 to model at all; ~40–80 studies.</t>
  </si>
  <si>
    <t xml:space="preserve">NEXT STEPS</t>
  </si>
  <si>
    <t xml:space="preserve">1</t>
  </si>
  <si>
    <t xml:space="preserve">Retrieve PDFs (Zotero); confirm DOI for each study_id (currently citekeys).</t>
  </si>
  <si>
    <t xml:space="preserve">2</t>
  </si>
  <si>
    <t xml:space="preserve">Extract condition-level rows from tables (manual) and figure curves (WebPlotDigitizer) into the Extraction sheet.</t>
  </si>
  <si>
    <t xml:space="preserve">3</t>
  </si>
  <si>
    <t xml:space="preserve">Double-extract a 10–15% sample to quantify extraction error (separate table).</t>
  </si>
  <si>
    <t xml:space="preserve">4</t>
  </si>
  <si>
    <t xml:space="preserve">Report per-system_class N; flag exploratory-only classes; integrate into data/curated/ and point Hydra data.path at it.</t>
  </si>
  <si>
    <t xml:space="preserve">NOTE on study_id</t>
  </si>
  <si>
    <t xml:space="preserve">study_id currently holds a citekey (author+year). The repo schema expects DOI — replace with DOI on PDF retrieval. study_id is the GroupKFold/LOSO grouping key and must never split across train/test.</t>
  </si>
  <si>
    <t xml:space="preserve">#</t>
  </si>
  <si>
    <t xml:space="preserve">study_id (citekey)</t>
  </si>
  <si>
    <t xml:space="preserve">Authors</t>
  </si>
  <si>
    <t xml:space="preserve">Year</t>
  </si>
  <si>
    <t xml:space="preserve">Journal</t>
  </si>
  <si>
    <t xml:space="preserve">Title</t>
  </si>
  <si>
    <t xml:space="preserve">Search axis</t>
  </si>
  <si>
    <t xml:space="preserve">system_class</t>
  </si>
  <si>
    <t xml:space="preserve">Decision</t>
  </si>
  <si>
    <t xml:space="preserve">Screening rationale</t>
  </si>
  <si>
    <t xml:space="preserve">Consensus link</t>
  </si>
  <si>
    <t xml:space="preserve">yavor2013</t>
  </si>
  <si>
    <t xml:space="preserve">Yavor et al.</t>
  </si>
  <si>
    <t xml:space="preserve">Int. J. Hydrogen Energy</t>
  </si>
  <si>
    <t xml:space="preserve">Enhanced hydrogen generation from aluminum–water reactions</t>
  </si>
  <si>
    <t xml:space="preserve">Particle size</t>
  </si>
  <si>
    <t xml:space="preserve">pure_al_alkali</t>
  </si>
  <si>
    <t xml:space="preserve">Nano/micron pure Al + water, 20–200 °C; size &amp; T vs rate/yield; Arrhenius. Core particle-size &amp; temperature axis.</t>
  </si>
  <si>
    <t xml:space="preserve">https://consensus.app/papers/details/bb10ac92480a5890a3f5b1a9adf3ecc8/</t>
  </si>
  <si>
    <t xml:space="preserve">wangyd2024</t>
  </si>
  <si>
    <t xml:space="preserve">Wang Y. et al.</t>
  </si>
  <si>
    <t xml:space="preserve">Renewable Energy</t>
  </si>
  <si>
    <t xml:space="preserve">Hydrogen production of millimeter aluminum spheres in sub/supercritical water</t>
  </si>
  <si>
    <t xml:space="preserve">mm Al spheres, no additive, 550–600 °C; size effect; yields 86.7–95%. Headline rows extractable.</t>
  </si>
  <si>
    <t xml:space="preserve">https://consensus.app/papers/details/64a90d23055a5245829d5940a05e9ce6/</t>
  </si>
  <si>
    <t xml:space="preserve">zhang2024</t>
  </si>
  <si>
    <t xml:space="preserve">Zhang X. et al.</t>
  </si>
  <si>
    <t xml:space="preserve">Front. Energy Res.</t>
  </si>
  <si>
    <t xml:space="preserve">Hydrogen from Al–water at low T: in-situ two powders of different sizes</t>
  </si>
  <si>
    <t xml:space="preserve">Two micron Al powders, low T, size evolution; kinetic model. Particle-size axis.</t>
  </si>
  <si>
    <t xml:space="preserve">https://consensus.app/papers/details/d898702f6d5f5189818281dffaf9f366/</t>
  </si>
  <si>
    <t xml:space="preserve">trowell2022</t>
  </si>
  <si>
    <t xml:space="preserve">Trowell et al.</t>
  </si>
  <si>
    <t xml:space="preserve">RSC Advances</t>
  </si>
  <si>
    <t xml:space="preserve">Hydrogen production rates of aluminum reacting with varying densities of supercritical water</t>
  </si>
  <si>
    <t xml:space="preserve">Al 10 µm–3 mm, supercritical water density; rate &amp; yield vs size/density.</t>
  </si>
  <si>
    <t xml:space="preserve">https://consensus.app/papers/details/0688c81de2cc5e31bc207685104aadcd/</t>
  </si>
  <si>
    <t xml:space="preserve">deng2010</t>
  </si>
  <si>
    <t xml:space="preserve">Deng et al.</t>
  </si>
  <si>
    <t xml:space="preserve">J. Am. Ceram. Soc.</t>
  </si>
  <si>
    <t xml:space="preserve">Role of particle sizes in hydrogen generation by reaction of Al with water</t>
  </si>
  <si>
    <t xml:space="preserve">Four pure Al sizes, 55 °C; size vs rate &amp; induction time; SCM. Direct particle-size axis.</t>
  </si>
  <si>
    <t xml:space="preserve">https://consensus.app/papers/details/3badace331e757578a1614b6a5b3f8f7/</t>
  </si>
  <si>
    <t xml:space="preserve">razavi2016</t>
  </si>
  <si>
    <t xml:space="preserve">Razavi-Tousi &amp; Szpunar</t>
  </si>
  <si>
    <t xml:space="preserve">Modification of the shrinking core model for Al–water hydrogen generation</t>
  </si>
  <si>
    <t xml:space="preserve">Kinetics/SCM</t>
  </si>
  <si>
    <t xml:space="preserve">Modified SCM (growing particle, porosity). Physics-validation anchor (H1/SCM). Modeling-heavy.</t>
  </si>
  <si>
    <t xml:space="preserve">https://consensus.app/papers/details/12ba46f920265791a0c337ab372f20eb/</t>
  </si>
  <si>
    <t xml:space="preserve">prabu2021</t>
  </si>
  <si>
    <t xml:space="preserve">Prabu et al.</t>
  </si>
  <si>
    <t xml:space="preserve">Int. J. Energy Res.</t>
  </si>
  <si>
    <t xml:space="preserve">Improved Al/water reaction using Al(OH)3 catalyst crystalline phases</t>
  </si>
  <si>
    <t xml:space="preserve">Pure Al + Al(OH)3 catalyst phases; yields 60–100%. Catalyst-promoted pure Al.</t>
  </si>
  <si>
    <t xml:space="preserve">https://consensus.app/papers/details/1151ca7034295bb282fb5c5ec5a77c49/</t>
  </si>
  <si>
    <t xml:space="preserve">wangxy2021</t>
  </si>
  <si>
    <t xml:space="preserve">Wang X. et al.</t>
  </si>
  <si>
    <t xml:space="preserve">Kinetics of Al–water reaction based on improved multi-stage shrinking core model</t>
  </si>
  <si>
    <t xml:space="preserve">Isothermal Al-powder/water; multi-stage SCM; Ea for sub-steps. Physics anchor.</t>
  </si>
  <si>
    <t xml:space="preserve">https://consensus.app/papers/details/cdb274b664d75763aae5e3be361cdc45/</t>
  </si>
  <si>
    <t xml:space="preserve">tekade2018n</t>
  </si>
  <si>
    <t xml:space="preserve">Tekade et al.</t>
  </si>
  <si>
    <t xml:space="preserve">Int. J. Chem. Reactor Eng.</t>
  </si>
  <si>
    <t xml:space="preserve">H2 in water splitting using Al: effect of NaOH concentration and SCM modelling</t>
  </si>
  <si>
    <t xml:space="preserve">Alkali/Temperature</t>
  </si>
  <si>
    <t xml:space="preserve">Al powder/foil, NaOH 0.12–0.67 N, 298–323 K; conversion &amp; SCM. Alkali-conc axis; multi-row.</t>
  </si>
  <si>
    <t xml:space="preserve">https://consensus.app/papers/details/dbdf0be9306b5633a022dc40655beea3/</t>
  </si>
  <si>
    <t xml:space="preserve">rin2021</t>
  </si>
  <si>
    <t xml:space="preserve">Rin et al.</t>
  </si>
  <si>
    <t xml:space="preserve">H2 from hydrolysis of Al promoted by Ni–Li–B catalyst</t>
  </si>
  <si>
    <t xml:space="preserve">Pure Al + Ni–Li–B catalyst, 35–75 °C; temperature axis.</t>
  </si>
  <si>
    <t xml:space="preserve">https://consensus.app/papers/details/cae991a0c51f5da8b6f59b0b5e5beca9/</t>
  </si>
  <si>
    <t xml:space="preserve">testa2024</t>
  </si>
  <si>
    <t xml:space="preserve">Testa et al.</t>
  </si>
  <si>
    <t xml:space="preserve">H2 from Al + NaOH/H2O: experiments and reaction kinetics</t>
  </si>
  <si>
    <t xml:space="preserve">Al + NaOH, conc/SA/T incl. subzero; Ea≈50 kJ/mol. Parameter-interaction evidence; multi-row.</t>
  </si>
  <si>
    <t xml:space="preserve">https://consensus.app/papers/details/1c3d3e9a75c752068200a1175d3def8e/</t>
  </si>
  <si>
    <t xml:space="preserve">kandasamy2023</t>
  </si>
  <si>
    <t xml:space="preserve">Kandasamy et al.</t>
  </si>
  <si>
    <t xml:space="preserve">Al–water splitting: combined experimental and theoretical (DFT) approach</t>
  </si>
  <si>
    <t xml:space="preserve">Al + NaOH exp + DFT; barriers 7.7–61.8 kJ/mol. Use experimental rows only.</t>
  </si>
  <si>
    <t xml:space="preserve">https://consensus.app/papers/details/1a57e744c2ce50e581fbda5f28adf3da/</t>
  </si>
  <si>
    <t xml:space="preserve">porciuncula2012</t>
  </si>
  <si>
    <t xml:space="preserve">Porciúncula et al.</t>
  </si>
  <si>
    <t xml:space="preserve">Braz. J. Chem. Eng.</t>
  </si>
  <si>
    <t xml:space="preserve">H2 in reaction of Al and water in presence of NaOH and KOH</t>
  </si>
  <si>
    <t xml:space="preserve">Al foil/plate, NaOH &amp; KOH 1–3 M, 295–345 K. Alkali-type &amp; conc axis; multi-row.</t>
  </si>
  <si>
    <t xml:space="preserve">https://consensus.app/papers/details/1f3f68bfeba15bbaa474ae2ce1b98407/</t>
  </si>
  <si>
    <t xml:space="preserve">yang2018</t>
  </si>
  <si>
    <t xml:space="preserve">Yang et al.</t>
  </si>
  <si>
    <t xml:space="preserve">H2 by Al–water reaction in acidic and alkaline media</t>
  </si>
  <si>
    <t xml:space="preserve">IN (partial)</t>
  </si>
  <si>
    <t xml:space="preserve">pH 2–13 additives. KEEP alkaline/neutral rows only; DROP acid-media rows (out of scope).</t>
  </si>
  <si>
    <t xml:space="preserve">https://consensus.app/papers/details/abb20c319cbf5e4ba06140fd62ee084d/</t>
  </si>
  <si>
    <t xml:space="preserve">tekade2018k</t>
  </si>
  <si>
    <t xml:space="preserve">KOH-activated H2 generation using Al in water splitting</t>
  </si>
  <si>
    <t xml:space="preserve">Al powder/foil, KOH 0.25–1.0 N, 30–50 °C; SCM. Alkali-conc axis; multi-row.</t>
  </si>
  <si>
    <t xml:space="preserve">https://consensus.app/papers/details/105b0870d76d5b34815558e3c8297e6f/</t>
  </si>
  <si>
    <t xml:space="preserve">gao2023ijhe</t>
  </si>
  <si>
    <t xml:space="preserve">Gao X. et al.</t>
  </si>
  <si>
    <t xml:space="preserve">Catalyst-free high-T high-P Al–water reaction</t>
  </si>
  <si>
    <t xml:space="preserve">Micron Al, no catalyst, high T/P; 100% yield. Temperature/pressure axis.</t>
  </si>
  <si>
    <t xml:space="preserve">https://consensus.app/papers/details/1a5c0f5741b05c228f89d10fc91e051a/</t>
  </si>
  <si>
    <t xml:space="preserve">gao2023jes</t>
  </si>
  <si>
    <t xml:space="preserve">J. Energy Storage</t>
  </si>
  <si>
    <t xml:space="preserve">Catalyst-free micron Al + water at low/medium T</t>
  </si>
  <si>
    <t xml:space="preserve">25 µm Al, tap water, 90–150 °C; yield 31.9% @150°C; Ea. Clean headline row.</t>
  </si>
  <si>
    <t xml:space="preserve">https://consensus.app/papers/details/df22241464205371b16c1847b5f906d9/</t>
  </si>
  <si>
    <t xml:space="preserve">wanghq2017</t>
  </si>
  <si>
    <t xml:space="preserve">Wang H. et al.</t>
  </si>
  <si>
    <t xml:space="preserve">Energy</t>
  </si>
  <si>
    <t xml:space="preserve">Facile H2 from Al–water promoted by choline hydroxide</t>
  </si>
  <si>
    <t xml:space="preserve">Al + choline hydroxide; mass/conc/T; Ea 45.9 kJ/mol. Alternative alkali.</t>
  </si>
  <si>
    <t xml:space="preserve">https://consensus.app/papers/details/cb48e91289be549ca4f910be3ac94b63/</t>
  </si>
  <si>
    <t xml:space="preserve">saroukanian2020</t>
  </si>
  <si>
    <t xml:space="preserve">Sarou-Kanian et al.</t>
  </si>
  <si>
    <t xml:space="preserve">(conf./report)</t>
  </si>
  <si>
    <t xml:space="preserve">Low temperature reactivity of aluminum nanopowders with liquid water</t>
  </si>
  <si>
    <t xml:space="preserve">Al nanopowder, 45–95 °C, salt water; Arrhenius Ea. Morphology=nano.</t>
  </si>
  <si>
    <t xml:space="preserve">https://consensus.app/papers/details/0566690ac5335a899a77919b31319f9c/</t>
  </si>
  <si>
    <t xml:space="preserve">wen2018</t>
  </si>
  <si>
    <t xml:space="preserve">Wen et al.</t>
  </si>
  <si>
    <t xml:space="preserve">Kinetics of H2 from Al/water using synthesized Al hydroxides</t>
  </si>
  <si>
    <t xml:space="preserve">Al + Al(OH)3 catalyst; Ea reduced 158→73 kJ/mol. Ea-spread evidence.</t>
  </si>
  <si>
    <t xml:space="preserve">https://consensus.app/papers/details/5ced2b19ae055a6fa73a628560228e0a/</t>
  </si>
  <si>
    <t xml:space="preserve">shmelev2016</t>
  </si>
  <si>
    <t xml:space="preserve">Shmelev et al.</t>
  </si>
  <si>
    <t xml:space="preserve">Hydrogen production by reaction of aluminum with water (KOH, Cu activation)</t>
  </si>
  <si>
    <t xml:space="preserve">Al foil/powder + KOH; Cu activation. Alkali + Cu cathode.</t>
  </si>
  <si>
    <t xml:space="preserve">https://consensus.app/papers/details/a25cf675148859848f8457c492cbcf3e/</t>
  </si>
  <si>
    <t xml:space="preserve">sykhyi2024</t>
  </si>
  <si>
    <t xml:space="preserve">Sykhyi et al.</t>
  </si>
  <si>
    <t xml:space="preserve">Vopr. Khim. Khim. Tekhnol.</t>
  </si>
  <si>
    <t xml:space="preserve">Thermochemical effects in H2 production with dissolvable Al anode</t>
  </si>
  <si>
    <t xml:space="preserve">IN (low priority)</t>
  </si>
  <si>
    <t xml:space="preserve">Al + KOH 0.5–5 M calorimetry; thermal effect. Limited yield rows; background-leaning.</t>
  </si>
  <si>
    <t xml:space="preserve">https://consensus.app/papers/details/fae55a128acc53f385b5521c26af67ed/</t>
  </si>
  <si>
    <t xml:space="preserve">dudoladov2016</t>
  </si>
  <si>
    <t xml:space="preserve">Dudoladov et al.</t>
  </si>
  <si>
    <t xml:space="preserve">H2 by Al oxidation in aqueous solutions at low temperatures</t>
  </si>
  <si>
    <t xml:space="preserve">Activated Al, NaOH/KOH, −40 to −10 °C; H2 volumes → yield derivable. Subzero T rows.</t>
  </si>
  <si>
    <t xml:space="preserve">https://consensus.app/papers/details/a490969cc9b95d12b7c69c158e7d0454/</t>
  </si>
  <si>
    <t xml:space="preserve">noland2020</t>
  </si>
  <si>
    <t xml:space="preserve">Noland et al.</t>
  </si>
  <si>
    <t xml:space="preserve">Apparent kinetics of H2 with water-slurried Al in NaOH</t>
  </si>
  <si>
    <t xml:space="preserve">Microspherical Al + NaOH pH 13; Ea 60–65 kJ/mol; SCM. Ea anchor.</t>
  </si>
  <si>
    <t xml:space="preserve">https://consensus.app/papers/details/53b8b2b500a95058965d228479847d80/</t>
  </si>
  <si>
    <t xml:space="preserve">tekade2018a</t>
  </si>
  <si>
    <t xml:space="preserve">H2 in annular micro-reactor; SCM modelling</t>
  </si>
  <si>
    <t xml:space="preserve">Al + NaOH 0.5–1 N flow reactor; yield &gt;98%; SCM.</t>
  </si>
  <si>
    <t xml:space="preserve">https://consensus.app/papers/details/bf59b39af0305f4eaef3fc2fc7549cd6/</t>
  </si>
  <si>
    <t xml:space="preserve">li2019</t>
  </si>
  <si>
    <t xml:space="preserve">Li C. et al.</t>
  </si>
  <si>
    <t xml:space="preserve">E3S Web Conf.</t>
  </si>
  <si>
    <t xml:space="preserve">H2 from rapid hydrolysis of Al in sodium fluoride solution</t>
  </si>
  <si>
    <t xml:space="preserve">Al + NaF; T &amp; additive; SCM + kinetics. Alternative promoter.</t>
  </si>
  <si>
    <t xml:space="preserve">https://consensus.app/papers/details/221f4d9fb85951d9bba56e6cfb16577d/</t>
  </si>
  <si>
    <t xml:space="preserve">meng2022</t>
  </si>
  <si>
    <t xml:space="preserve">Meng A. et al.</t>
  </si>
  <si>
    <t xml:space="preserve">Mechanism of H2 from low-melting elements (Ga,In,Sn) on Al alloy hydrolysis</t>
  </si>
  <si>
    <t xml:space="preserve">Alloy/Activator</t>
  </si>
  <si>
    <t xml:space="preserve">al_alloy</t>
  </si>
  <si>
    <t xml:space="preserve">Al-Ga-In-Sn, Ga content &amp; In:Sn ratio, T; yield &gt;98%, Ea 39.2. Composition axis; multi-row.</t>
  </si>
  <si>
    <t xml:space="preserve">https://consensus.app/papers/details/c51d7f1ddade589b9929e3ab4470b5fc/</t>
  </si>
  <si>
    <t xml:space="preserve">manilevich2020</t>
  </si>
  <si>
    <t xml:space="preserve">Manilevich et al.</t>
  </si>
  <si>
    <t xml:space="preserve">Materials Science</t>
  </si>
  <si>
    <t xml:space="preserve">Hydrolysis of Al activated by Ga–In–Sn eutectic, Bi, or Sb</t>
  </si>
  <si>
    <t xml:space="preserve">Cast Al-GaInSn/Bi/Sb, 25–70 °C; rate–yield trade-off (Bi lowers rate). Trade-off evidence.</t>
  </si>
  <si>
    <t xml:space="preserve">https://consensus.app/papers/details/a987f35e413a54e1bbe63ec6ea89522d/</t>
  </si>
  <si>
    <t xml:space="preserve">liuyh2017</t>
  </si>
  <si>
    <t xml:space="preserve">Liu Y. et al.</t>
  </si>
  <si>
    <t xml:space="preserve">H2 from hydrolysis of gas-atomized Al-Bi, Al-Sn powders</t>
  </si>
  <si>
    <t xml:space="preserve">Al-20Bi, Al-20Sn gas-atomized; T effect on induction/yield. Composition axis.</t>
  </si>
  <si>
    <t xml:space="preserve">https://consensus.app/papers/details/7785d2442903510d98688b5bda9b8397/</t>
  </si>
  <si>
    <t xml:space="preserve">meng2023</t>
  </si>
  <si>
    <t xml:space="preserve">Mater. Today Sustain.</t>
  </si>
  <si>
    <t xml:space="preserve">H2 performance of an Al-Ga-In-Sn quaternary alloy</t>
  </si>
  <si>
    <t xml:space="preserve">9 Al-Ga-In-Sn ratios; optimal Al-11Ga-3In-1Sn yield &gt;98%, Ea 18.22. Composition axis; multi-row.</t>
  </si>
  <si>
    <t xml:space="preserve">https://consensus.app/papers/details/fe371ecd9e4a51bb896f9d49e4c6f153/</t>
  </si>
  <si>
    <t xml:space="preserve">qiao2019</t>
  </si>
  <si>
    <t xml:space="preserve">Qiao D. et al.</t>
  </si>
  <si>
    <t xml:space="preserve">Superior H2 performance of multi-component Al alloys</t>
  </si>
  <si>
    <t xml:space="preserve">13 Ga-based LMP alloy compositions, tap water; as-cast vs ball-milled. Rich composition axis.</t>
  </si>
  <si>
    <t xml:space="preserve">https://consensus.app/papers/details/c482534bee6d56b4aa28c28bf2e20964/</t>
  </si>
  <si>
    <t xml:space="preserve">an2022</t>
  </si>
  <si>
    <t xml:space="preserve">An Q. et al.</t>
  </si>
  <si>
    <t xml:space="preserve">Liquid-phase-derived activation in Al-rich alloy hydrolysis</t>
  </si>
  <si>
    <t xml:space="preserve">Al-Ga-In-Sn, grain-boundary phase, Marangoni; rate vs composition.</t>
  </si>
  <si>
    <t xml:space="preserve">https://consensus.app/papers/details/591d739278cf57ec976ab5a8910aeebf/</t>
  </si>
  <si>
    <t xml:space="preserve">manilevich2021b</t>
  </si>
  <si>
    <t xml:space="preserve">(book) H2-Based Energy Storage</t>
  </si>
  <si>
    <t xml:space="preserve">Activated aluminum for hydrogen generation from water</t>
  </si>
  <si>
    <t xml:space="preserve">Cast Al-GaInSn(±Zn,Bi,Sb), 25–70 °C + milled powders. Possible overlap w/ manilevich2020/2021a.</t>
  </si>
  <si>
    <t xml:space="preserve">https://consensus.app/papers/details/36fd0e8702415edc949781ff46f42818/</t>
  </si>
  <si>
    <t xml:space="preserve">gaozeng2021</t>
  </si>
  <si>
    <t xml:space="preserve">Gao Z. et al.</t>
  </si>
  <si>
    <t xml:space="preserve">Energies</t>
  </si>
  <si>
    <t xml:space="preserve">Hydrolysis H2 of Al system adding low-melting metals</t>
  </si>
  <si>
    <t xml:space="preserve">10 multi-element Al alloy ingots, 60 °C; GaInSn ratio effect. Composition axis.</t>
  </si>
  <si>
    <t xml:space="preserve">https://consensus.app/papers/details/1b4a2860f4d751ba8dd3e51dc73d0016/</t>
  </si>
  <si>
    <t xml:space="preserve">zhu2021</t>
  </si>
  <si>
    <t xml:space="preserve">Zhu L. et al.</t>
  </si>
  <si>
    <t xml:space="preserve">Materials</t>
  </si>
  <si>
    <t xml:space="preserve">Enhanced H2 of Al-rich alloys by melting-crushing-ball milling</t>
  </si>
  <si>
    <t xml:space="preserve">Al-Ga-In-Sn + NiCl2/CoCl2; rate up to 5337 mL/min/g. Alloy+milling.</t>
  </si>
  <si>
    <t xml:space="preserve">https://consensus.app/papers/details/34714c2cb5e9505b936167ec70e70ee5/</t>
  </si>
  <si>
    <t xml:space="preserve">elitzur2014</t>
  </si>
  <si>
    <t xml:space="preserve">Elitzur et al.</t>
  </si>
  <si>
    <t xml:space="preserve">Study of H2 production and storage based on Al–water reaction</t>
  </si>
  <si>
    <t xml:space="preserve">Li-activated Al, tap/sea water, size/shape/ratio; yield ~90%. Water-type &amp; size axis.</t>
  </si>
  <si>
    <t xml:space="preserve">https://consensus.app/papers/details/65516af53e3f5f9c9d9ebeafb4f0e378/</t>
  </si>
  <si>
    <t xml:space="preserve">jayaraman2015</t>
  </si>
  <si>
    <t xml:space="preserve">Jayaraman et al.</t>
  </si>
  <si>
    <t xml:space="preserve">Energy &amp; Power Eng.</t>
  </si>
  <si>
    <t xml:space="preserve">Effects of Al particle size, Galinstan content, T on H2</t>
  </si>
  <si>
    <t xml:space="preserve">liquid_metal_activated</t>
  </si>
  <si>
    <t xml:space="preserve">Ga-In-Sn-Zn activated Al; INVERTED size effect (30 µm &lt; 350 µm yield). Direction-changing evidence.</t>
  </si>
  <si>
    <t xml:space="preserve">https://consensus.app/papers/details/177c44b59c9152d3aa51401c74d155d5/</t>
  </si>
  <si>
    <t xml:space="preserve">mohammed2025</t>
  </si>
  <si>
    <t xml:space="preserve">Mohammed</t>
  </si>
  <si>
    <t xml:space="preserve">Fuel</t>
  </si>
  <si>
    <t xml:space="preserve">Thermally sintered Al-Ga-In microcomposites for H2</t>
  </si>
  <si>
    <t xml:space="preserve">EGaIn-sprayed Al foil sintered; LM:Al ratio &amp; T vs yield/rate. Activator-ratio axis.</t>
  </si>
  <si>
    <t xml:space="preserve">https://consensus.app/papers/details/5275aa6169a65120858da8659cc69a70/</t>
  </si>
  <si>
    <t xml:space="preserve">tan2016</t>
  </si>
  <si>
    <t xml:space="preserve">Tan S. et al.</t>
  </si>
  <si>
    <t xml:space="preserve">Activation of Al with four liquid metals to generate H2 in alkaline solution</t>
  </si>
  <si>
    <t xml:space="preserve">Ga, Ga-In, Ga-Sn, Ga-Zn in alkaline; comparative rate. LM type axis.</t>
  </si>
  <si>
    <t xml:space="preserve">https://consensus.app/papers/details/7c9be66529fd5c2aaa0b7cdf1516a053/</t>
  </si>
  <si>
    <t xml:space="preserve">godart2019</t>
  </si>
  <si>
    <t xml:space="preserve">Godart et al.</t>
  </si>
  <si>
    <t xml:space="preserve">H2 from Al–water subject to varied pressures and temperatures</t>
  </si>
  <si>
    <t xml:space="preserve">Ga-In activated bulk Al, 273–600 K, 0.1–10 MPa; byproduct phase map. Physics anchor (P,T).</t>
  </si>
  <si>
    <t xml:space="preserve">https://consensus.app/papers/details/ef49abb171fb5859a991145c5c5c68f2/</t>
  </si>
  <si>
    <t xml:space="preserve">razavi2013</t>
  </si>
  <si>
    <t xml:space="preserve">Effect of ball-milling structural evolution of Al powder on H2</t>
  </si>
  <si>
    <t xml:space="preserve">mechanically_activated</t>
  </si>
  <si>
    <t xml:space="preserve">Milling time vs structure/yield; non-monotonic (interlayer spaces). Activation-method axis.</t>
  </si>
  <si>
    <t xml:space="preserve">https://consensus.app/papers/details/441d4b7a40905d7dbc4c3025473fbc98/</t>
  </si>
  <si>
    <t xml:space="preserve">xiao2020</t>
  </si>
  <si>
    <t xml:space="preserve">Xiao F. et al.</t>
  </si>
  <si>
    <t xml:space="preserve">J. Alloys Compd.</t>
  </si>
  <si>
    <t xml:space="preserve">Effect of carbon materials and Bi particle size on H2 of Al composites</t>
  </si>
  <si>
    <t xml:space="preserve">Al/C/Bi composites; Bi particle size &amp; milling; rate 23.3 mL/s/g. Size + additive axis.</t>
  </si>
  <si>
    <t xml:space="preserve">https://consensus.app/papers/details/71c53e631c6c5d65965d38b8b7832132/</t>
  </si>
  <si>
    <t xml:space="preserve">irankhah2018</t>
  </si>
  <si>
    <t xml:space="preserve">Irankhah et al.</t>
  </si>
  <si>
    <t xml:space="preserve">H2 generation using activated aluminum/water reaction</t>
  </si>
  <si>
    <t xml:space="preserve">Al + NaCl/KCl/BaCl2 ball-milled + NaOH; salt:Al ratio &amp; conc. Activator-ratio axis.</t>
  </si>
  <si>
    <t xml:space="preserve">https://consensus.app/papers/details/8cfa106fd4e15461a4e49243dae1b272/</t>
  </si>
  <si>
    <t xml:space="preserve">manilevich2021a</t>
  </si>
  <si>
    <t xml:space="preserve">Powder Metall. Met. Ceram.</t>
  </si>
  <si>
    <t xml:space="preserve">Mechanochemically activated Al powders for generating H2 from water</t>
  </si>
  <si>
    <t xml:space="preserve">PA-4/ASD-1 Al + GaInSn(Zn) + graphite; size, milling, T. Multi-factor.</t>
  </si>
  <si>
    <t xml:space="preserve">https://consensus.app/papers/details/75036aad0a0a5a6689b1633cfecbb7be/</t>
  </si>
  <si>
    <t xml:space="preserve">xiao2018</t>
  </si>
  <si>
    <t xml:space="preserve">H2 from hydrolysis of activated Al composites in tap water</t>
  </si>
  <si>
    <t xml:space="preserve">Al-Sn/Bi/Bi-Sn milled; ternary synergy; rate 9.5 mL/s/g @35°C. Composition axis.</t>
  </si>
  <si>
    <t xml:space="preserve">https://consensus.app/papers/details/fedea855e8bb5faa9ebf0cb33a07c902/</t>
  </si>
  <si>
    <t xml:space="preserve">preez2018</t>
  </si>
  <si>
    <t xml:space="preserve">du Preez &amp; Bessarabov</t>
  </si>
  <si>
    <t xml:space="preserve">H2 by hydrolysis of mechanochemically activated Al-Sn-In composites</t>
  </si>
  <si>
    <t xml:space="preserve">Al-Sn-In milled, pure water; intermetallic phase vs induction; &gt;95% yield. Composition axis.</t>
  </si>
  <si>
    <t xml:space="preserve">https://consensus.app/papers/details/22be3592c0015da5bc74da2de5eae47a/</t>
  </si>
  <si>
    <t xml:space="preserve">preez2019</t>
  </si>
  <si>
    <t xml:space="preserve">Effects of Bi and Sn on mechanochemical processing of Al composites</t>
  </si>
  <si>
    <t xml:space="preserve">Al-Bi-Sn milled; 5–10 wt% activator; &gt;95% yield. Composition axis; multi-row.</t>
  </si>
  <si>
    <t xml:space="preserve">https://consensus.app/papers/details/2d9b9126ce3f529395024c0a55a0f9be/</t>
  </si>
  <si>
    <t xml:space="preserve">huang2023</t>
  </si>
  <si>
    <t xml:space="preserve">Huang L. et al.</t>
  </si>
  <si>
    <t xml:space="preserve">Effect of T on H2 and hydrolysis mechanism of Al-Sn-Bi composites</t>
  </si>
  <si>
    <t xml:space="preserve">Al-3Sn-7Bi, 50 vs 75 °C; rate 1620 mL/g/min, Ea 39.06. Temperature axis.</t>
  </si>
  <si>
    <t xml:space="preserve">https://consensus.app/papers/details/1f2bc11c9fd258ff8b758285a1ddbc25/</t>
  </si>
  <si>
    <t xml:space="preserve">davies2022eni</t>
  </si>
  <si>
    <t xml:space="preserve">Davies et al.</t>
  </si>
  <si>
    <t xml:space="preserve">Hydrolysis of ball-milled Al-Bi-Ni composites</t>
  </si>
  <si>
    <t xml:space="preserve">Al-Bi-Ni milled; Ni&gt;1 wt% kills activation. Composition threshold evidence.</t>
  </si>
  <si>
    <t xml:space="preserve">https://consensus.app/papers/details/066378b524b75357b70637e3ce3f8930/</t>
  </si>
  <si>
    <t xml:space="preserve">davies2022mat</t>
  </si>
  <si>
    <t xml:space="preserve">On-demand H2 by hydrolysis of ball-milled Al-Bi-Zn composites</t>
  </si>
  <si>
    <t xml:space="preserve">Al-7.5Bi-2.5Zn; Zn slows rate, keeps yield 99.5%. Rate-yield trade-off evidence.</t>
  </si>
  <si>
    <t xml:space="preserve">https://consensus.app/papers/details/3e1c3fb6d35d56ae8446901632cf0a95/</t>
  </si>
  <si>
    <t xml:space="preserve">guan2019</t>
  </si>
  <si>
    <t xml:space="preserve">Guan et al.</t>
  </si>
  <si>
    <t xml:space="preserve">H2 from Al composites activated by low-melting metals/oxides/salts</t>
  </si>
  <si>
    <t xml:space="preserve">Al-Ga-In-SnCl2-Bi2O3 milled; orthogonal design; yield 1172 mL/g, Ea 20. Rich composition axis.</t>
  </si>
  <si>
    <t xml:space="preserve">https://consensus.app/papers/details/5b33063767c95ef481fec5030dcf87d1/</t>
  </si>
  <si>
    <t xml:space="preserve">chen2020</t>
  </si>
  <si>
    <t xml:space="preserve">Chen et al.</t>
  </si>
  <si>
    <t xml:space="preserve">H2 from Al-Bi(OH)3 composite promoted by NaCl</t>
  </si>
  <si>
    <t xml:space="preserve">Al-10Bi(OH)3-5NaCl milled; Ea 10.4; yield 1000 mL/g in 1 min. Additive axis.</t>
  </si>
  <si>
    <t xml:space="preserve">https://consensus.app/papers/details/7b1dfde16bbc568d81d8cdde67366a89/</t>
  </si>
  <si>
    <t xml:space="preserve">liuzh2021</t>
  </si>
  <si>
    <t xml:space="preserve">Liu Z. et al.</t>
  </si>
  <si>
    <t xml:space="preserve">H2 performance and hydrolyzates of active Al composites (Bi, Bi2O3)</t>
  </si>
  <si>
    <t xml:space="preserve">Al-Bi, Al-Bi-Bi2O3 milled, 35–55 °C; byproduct AlOOH vs Al(OH)3. Temperature axis.</t>
  </si>
  <si>
    <t xml:space="preserve">https://consensus.app/papers/details/211fc4bb22af57c1870800420a62ee7c/</t>
  </si>
  <si>
    <t xml:space="preserve">xuan2023</t>
  </si>
  <si>
    <t xml:space="preserve">Xuan et al.</t>
  </si>
  <si>
    <t xml:space="preserve">Rapid H2 from Al/activated charcoal composite with alkaline solution</t>
  </si>
  <si>
    <t xml:space="preserve">Al/AC milled + 1M NaOH; 98% in ~1 min, rate 4556 mL/min/g. Activation+alkali.</t>
  </si>
  <si>
    <t xml:space="preserve">https://consensus.app/papers/details/0c5632b718215e27b16f0237d55a5eb3/</t>
  </si>
  <si>
    <t xml:space="preserve">wu2025</t>
  </si>
  <si>
    <t xml:space="preserve">Wu T. et al.</t>
  </si>
  <si>
    <t xml:space="preserve">Al composites for rapid green H2 and rate enhancement mechanisms</t>
  </si>
  <si>
    <t xml:space="preserve">Waste/Activation method</t>
  </si>
  <si>
    <t xml:space="preserve">Al-Bi-NaCl-GF milled; rate 9480 mL/g/min @40°C, 2700 @0°C. Low-T performance.</t>
  </si>
  <si>
    <t xml:space="preserve">https://consensus.app/papers/details/aef9fd3c8b835baaa78e0bd643a77d34/</t>
  </si>
  <si>
    <t xml:space="preserve">martinezv2026</t>
  </si>
  <si>
    <t xml:space="preserve">Martínez-Vargas et al.</t>
  </si>
  <si>
    <t xml:space="preserve">Hydrogen</t>
  </si>
  <si>
    <t xml:space="preserve">H2 from recycled Al microparticles in alkaline media</t>
  </si>
  <si>
    <t xml:space="preserve">waste_al</t>
  </si>
  <si>
    <t xml:space="preserve">Recycled Al 180–500 µm, 1M NaOH; SCM R²≈0.999; INVERTED-U cumulative vs size. Star: direction-change + SCM.</t>
  </si>
  <si>
    <t xml:space="preserve">https://consensus.app/papers/details/e42642feb5de578e964d0c4c7454df9e/</t>
  </si>
  <si>
    <t xml:space="preserve">buryakov2024</t>
  </si>
  <si>
    <t xml:space="preserve">Buryakovskaya et al.</t>
  </si>
  <si>
    <t xml:space="preserve">Molecules</t>
  </si>
  <si>
    <t xml:space="preserve">Silver-assisted H2 from Al oxidation in saline media</t>
  </si>
  <si>
    <t xml:space="preserve">Al-alloy swarf + Ag + LiCl/Ga milled, AlCl3 60/80 °C; yields 31.8–86.8%. Multi-row headline.</t>
  </si>
  <si>
    <t xml:space="preserve">https://consensus.app/papers/details/074c5e384b0553f68f5fb9952fa97716/</t>
  </si>
  <si>
    <t xml:space="preserve">fadhilah2023</t>
  </si>
  <si>
    <t xml:space="preserve">Fadhilah et al.</t>
  </si>
  <si>
    <t xml:space="preserve">Bull. Chem. React. Eng. Catal.</t>
  </si>
  <si>
    <t xml:space="preserve">Kinetics of Al-water using NaOH/NaAlO2 from Al cans waste</t>
  </si>
  <si>
    <t xml:space="preserve">Waste Al cans, NaOH/NaAlO2, 32–80 °C; Ea 47.4; SCM. Temperature axis.</t>
  </si>
  <si>
    <t xml:space="preserve">https://consensus.app/papers/details/eea0fcac7a5550859ed50c3fb95fe531/</t>
  </si>
  <si>
    <t xml:space="preserve">mezulis2023</t>
  </si>
  <si>
    <t xml:space="preserve">Mezulis et al.</t>
  </si>
  <si>
    <t xml:space="preserve">Water–Al scrap reaction kinetics in two steps; green H2 efficiency</t>
  </si>
  <si>
    <t xml:space="preserve">Al waste chips, alkali ≤1M; planar SCM; 92% yield @1M NaOH. Alkali-conc axis.</t>
  </si>
  <si>
    <t xml:space="preserve">https://consensus.app/papers/details/74a077ac12415f23bcc24a0494cf154a/</t>
  </si>
  <si>
    <t xml:space="preserve">david2012</t>
  </si>
  <si>
    <t xml:space="preserve">David &amp; Kopac</t>
  </si>
  <si>
    <t xml:space="preserve">J. Hazard. Mater.</t>
  </si>
  <si>
    <t xml:space="preserve">Hydrolysis of aluminum dross material to achieve zero hazardous waste</t>
  </si>
  <si>
    <t xml:space="preserve">Al dross milled to 45 µm, tap water; rate ~ pure Al. Waste-Al baseline.</t>
  </si>
  <si>
    <t xml:space="preserve">https://consensus.app/papers/details/6130c1d7e3d656f4bfe8e6c8222baed2/</t>
  </si>
  <si>
    <t xml:space="preserve">yolcular2020</t>
  </si>
  <si>
    <t xml:space="preserve">Yolcular &amp; Karaoglu</t>
  </si>
  <si>
    <t xml:space="preserve">Energy Sources Part A</t>
  </si>
  <si>
    <t xml:space="preserve">H2 performance of waste Al alloy chips and powders</t>
  </si>
  <si>
    <t xml:space="preserve">1050/6013/7075 chips+powder, 20% NaCl milled, DI vs 1M NaOH, 30–70 °C. Alloy+medium+T axis.</t>
  </si>
  <si>
    <t xml:space="preserve">https://consensus.app/papers/details/70d11bc4ca06537b93c570e9c677b4f5/</t>
  </si>
  <si>
    <t xml:space="preserve">buryakov2023met</t>
  </si>
  <si>
    <t xml:space="preserve">Metals</t>
  </si>
  <si>
    <t xml:space="preserve">Al scrap to H2: oxidation medium, milling, Cu additive dispersity</t>
  </si>
  <si>
    <t xml:space="preserve">Al-Cu scrap milled; 11 chloride media; AlCl3 best 91.5%. Medium screen; multi-row.</t>
  </si>
  <si>
    <t xml:space="preserve">https://consensus.app/papers/details/d8e4c6c0a66c59a6a38e8bd7d02b82ee/</t>
  </si>
  <si>
    <t xml:space="preserve">urbonav2024</t>
  </si>
  <si>
    <t xml:space="preserve">Urbonavičius et al.</t>
  </si>
  <si>
    <t xml:space="preserve">Low-temperature plasma treatment of waste Al for hydrolysis</t>
  </si>
  <si>
    <t xml:space="preserve">Waste Al milled + plasma; molarity &amp; T; Ea. activation_method=plasma.</t>
  </si>
  <si>
    <t xml:space="preserve">https://consensus.app/papers/details/98d03b19137f55c6a4f8d5b5faec3cb1/</t>
  </si>
  <si>
    <t xml:space="preserve">ho2016</t>
  </si>
  <si>
    <t xml:space="preserve">Ho</t>
  </si>
  <si>
    <t xml:space="preserve">Enhancement of H2 using waste Al cans hydrolysis in low alkaline water</t>
  </si>
  <si>
    <t xml:space="preserve">Waste Al cans milled + Ni/Bi, low alkali; rate 150 mL/s/g. Waste + additive.</t>
  </si>
  <si>
    <t xml:space="preserve">https://consensus.app/papers/details/4ddc847f110059778b5094eb996c1810/</t>
  </si>
  <si>
    <t xml:space="preserve">knoks2025</t>
  </si>
  <si>
    <t xml:space="preserve">Knoks et al.</t>
  </si>
  <si>
    <t xml:space="preserve">Applied Sciences</t>
  </si>
  <si>
    <t xml:space="preserve">Aluminium white dross for H2 hydrolysis in low-concentration alkali</t>
  </si>
  <si>
    <t xml:space="preserve">White dross vs construction waste, low alkali; SCM; composition-dependent yield.</t>
  </si>
  <si>
    <t xml:space="preserve">https://consensus.app/papers/details/8fc562f7fcf5559abef08018603a2722/</t>
  </si>
  <si>
    <t xml:space="preserve">singh2019</t>
  </si>
  <si>
    <t xml:space="preserve">Singh et al.</t>
  </si>
  <si>
    <t xml:space="preserve">(journal)</t>
  </si>
  <si>
    <t xml:space="preserve">H2 production using waste aluminium dross</t>
  </si>
  <si>
    <t xml:space="preserve">White Al dross + NaOH/KOH; temp &amp; time. Waste-Al + alkali.</t>
  </si>
  <si>
    <t xml:space="preserve">https://consensus.app/papers/details/94245e13f0325547b6bf4944fbe87939/</t>
  </si>
  <si>
    <t xml:space="preserve">kale2021</t>
  </si>
  <si>
    <t xml:space="preserve">Kale et al.</t>
  </si>
  <si>
    <t xml:space="preserve">J. Energy Inst.</t>
  </si>
  <si>
    <t xml:space="preserve">Pilot-scale H2 from hydrolysis of black Al dross without catalyst</t>
  </si>
  <si>
    <t xml:space="preserve">Black dross &lt;400 µm, hot tap water 100 °C; 120 L/kg. Pilot; dross:water &amp; pH axis.</t>
  </si>
  <si>
    <t xml:space="preserve">https://consensus.app/papers/details/3d2451c74667578b8a949b6664ad3625/</t>
  </si>
  <si>
    <t xml:space="preserve">deebika2023</t>
  </si>
  <si>
    <t xml:space="preserve">Deebika et al.</t>
  </si>
  <si>
    <t xml:space="preserve">Utilization of RO rejects and waste Al scraps for H2</t>
  </si>
  <si>
    <t xml:space="preserve">Al scraps + RO reject media pH 14; Ea 69.92. Water-type axis.</t>
  </si>
  <si>
    <t xml:space="preserve">https://consensus.app/papers/details/b334669fd79d50689a14fd7cfaa727e9/</t>
  </si>
  <si>
    <t xml:space="preserve">gupta2025</t>
  </si>
  <si>
    <t xml:space="preserve">Gupta et al.</t>
  </si>
  <si>
    <t xml:space="preserve">Mater. Renew. Sustain. Energy</t>
  </si>
  <si>
    <t xml:space="preserve">H2 from Al6063 post-consumer scrap via controlled corrosion</t>
  </si>
  <si>
    <t xml:space="preserve">Al6063 dust scrap, NaOH 0.75–5 M, 38–50 °C; rate 35.7–421 mL/g/min. Alkali-conc axis; multi-row.</t>
  </si>
  <si>
    <t xml:space="preserve">https://consensus.app/papers/details/290b895f6d945bb68f90cfabae5be512/</t>
  </si>
  <si>
    <t xml:space="preserve">maulana2023</t>
  </si>
  <si>
    <t xml:space="preserve">Maulana et al.</t>
  </si>
  <si>
    <t xml:space="preserve">Adv. Mater. Res.</t>
  </si>
  <si>
    <t xml:space="preserve">H2 from waste Al foil AA1235 using Al-water with thickness variations</t>
  </si>
  <si>
    <t xml:space="preserve">Waste Al foil 6.5–19.5 µm, NaOH/NaAlO2; thickness vs yield; SCM. Morphology=foil.</t>
  </si>
  <si>
    <t xml:space="preserve">https://consensus.app/papers/details/5bc47dfb0b3a5b9d9e43491ce610fe76/</t>
  </si>
  <si>
    <t xml:space="preserve">tekade2020</t>
  </si>
  <si>
    <t xml:space="preserve">H2 via water splitting using waste Al in presence of gallium</t>
  </si>
  <si>
    <t xml:space="preserve">Waste Al wire + Ga (50–95%) + KOH, 50–70 °C; 12x rate. Waste + LM + alkali; multi-row.</t>
  </si>
  <si>
    <t xml:space="preserve">https://consensus.app/papers/details/37184ee78a085d00b7363046dee88be1/</t>
  </si>
  <si>
    <t xml:space="preserve">dong2019</t>
  </si>
  <si>
    <t xml:space="preserve">Dong R. et al.</t>
  </si>
  <si>
    <t xml:space="preserve">MD simulation of nano-Al with water: size and passivation effects</t>
  </si>
  <si>
    <t xml:space="preserve">(background)</t>
  </si>
  <si>
    <t xml:space="preserve">Reactive MD simulation, not experimental — no condition-level rows. Cite for size/passivation mechanism.</t>
  </si>
  <si>
    <t xml:space="preserve">https://consensus.app/papers/details/75fce1fa9bf05a07927f77d9e71dbecf/</t>
  </si>
  <si>
    <t xml:space="preserve">kumar2020</t>
  </si>
  <si>
    <t xml:space="preserve">Kumar et al.</t>
  </si>
  <si>
    <t xml:space="preserve">Overview on activation of aluminium-water reaction (REVIEW)</t>
  </si>
  <si>
    <t xml:space="preserve">Review — no primary data. Use for framing &amp; to mine primary refs.</t>
  </si>
  <si>
    <t xml:space="preserve">https://consensus.app/papers/details/f3748dde40515d7b85847f4e3adc741c/</t>
  </si>
  <si>
    <t xml:space="preserve">rafi2023</t>
  </si>
  <si>
    <t xml:space="preserve">Rafi et al.</t>
  </si>
  <si>
    <t xml:space="preserve">Overview of H2 by hydrolysis of Al/alloys + carbon materials (REVIEW)</t>
  </si>
  <si>
    <t xml:space="preserve">Review — no primary data. Carbon-additive framing; mine refs.</t>
  </si>
  <si>
    <t xml:space="preserve">https://consensus.app/papers/details/424b025ea9085bf3886293cdd0c0fae0/</t>
  </si>
  <si>
    <t xml:space="preserve">cao2024</t>
  </si>
  <si>
    <t xml:space="preserve">Cao Q. et al.</t>
  </si>
  <si>
    <t xml:space="preserve">Overview on active Al alloys: H2-production vs structural (REVIEW)</t>
  </si>
  <si>
    <t xml:space="preserve">Review — no primary data. Alloy taxonomy framing.</t>
  </si>
  <si>
    <t xml:space="preserve">https://consensus.app/papers/details/a0d4235c0c625396bdc8a5abb2f72b1f/</t>
  </si>
  <si>
    <t xml:space="preserve">preez2021</t>
  </si>
  <si>
    <t xml:space="preserve">On-demand H2 by hydrolysis of ball-milled Al composites: process overview (REVIEW)</t>
  </si>
  <si>
    <t xml:space="preserve">Review/overview — mine for primary du Preez refs.</t>
  </si>
  <si>
    <t xml:space="preserve">https://consensus.app/papers/details/17789285f47f5fdc908ce5c89e01841e/</t>
  </si>
  <si>
    <t xml:space="preserve">musicco2025</t>
  </si>
  <si>
    <t xml:space="preserve">Musicco et al.</t>
  </si>
  <si>
    <t xml:space="preserve">Int. J. Thermofluids</t>
  </si>
  <si>
    <t xml:space="preserve">Review of H2 generation methods via Al-water reactions (REVIEW)</t>
  </si>
  <si>
    <t xml:space="preserve">Review — no primary data. Methods framing.</t>
  </si>
  <si>
    <t xml:space="preserve">https://consensus.app/papers/details/4545e87fa95c50e5ae4fb95cb40077d1/</t>
  </si>
  <si>
    <t xml:space="preserve">buryakov2023mat</t>
  </si>
  <si>
    <t xml:space="preserve">Enhanced H2 from Mg-Al scrap ball-milled with Sn-Pb</t>
  </si>
  <si>
    <t xml:space="preserve">OUT (Mg)</t>
  </si>
  <si>
    <t xml:space="preserve">Mg-based alloy scrap dominant. Mg out of dataset scope; cite for contradiction existence only.</t>
  </si>
  <si>
    <t xml:space="preserve">https://consensus.app/papers/details/0ee3178940f753a2ba5aae9731e38bef/</t>
  </si>
  <si>
    <t xml:space="preserve">buryakov2022</t>
  </si>
  <si>
    <t xml:space="preserve">Sustainability</t>
  </si>
  <si>
    <t xml:space="preserve">Waste to H2: hydroreactive materials from Mg-Al scrap</t>
  </si>
  <si>
    <t xml:space="preserve">Mg-Al scrap, Mg-dominant. Out of scope; non-monotonic activation cited as background.</t>
  </si>
  <si>
    <t xml:space="preserve">https://consensus.app/papers/details/845f2cb7315d5ed1a2ade106bd7f77b2/</t>
  </si>
  <si>
    <t xml:space="preserve">buryakov2023bsp</t>
  </si>
  <si>
    <t xml:space="preserve">Effects of Bi-Sn-Pb alloy and milling on Mg-Al waste reactivity</t>
  </si>
  <si>
    <t xml:space="preserve">Mg-based casting alloy scrap. Out of scope (Mg).</t>
  </si>
  <si>
    <t xml:space="preserve">https://consensus.app/papers/details/c8053168d52755c4b67a6042705a41c7/</t>
  </si>
  <si>
    <t xml:space="preserve">albacha2020</t>
  </si>
  <si>
    <t xml:space="preserve">Albacha et al.</t>
  </si>
  <si>
    <t xml:space="preserve">J. Power Sources</t>
  </si>
  <si>
    <t xml:space="preserve">H2 from ball-milled Mg alloy waste by hydrolysis</t>
  </si>
  <si>
    <t xml:space="preserve">Mg alloy waste. Out of scope (Mg); cite for additive-synergy background.</t>
  </si>
  <si>
    <t xml:space="preserve">https://consensus.app/papers/details/d6942feee0cd5206bfc8bd318da9958c/</t>
  </si>
  <si>
    <t xml:space="preserve">martinezs2020</t>
  </si>
  <si>
    <t xml:space="preserve">Martínez-Salazar et al.</t>
  </si>
  <si>
    <t xml:space="preserve">H2 by Al alloy corrosion in aqueous ACID solutions promoted by nanometal</t>
  </si>
  <si>
    <t xml:space="preserve">OUT (acid)</t>
  </si>
  <si>
    <t xml:space="preserve">Acid-media hydrolysis — out of scope. SCM method cited for physics background only.</t>
  </si>
  <si>
    <t xml:space="preserve">https://consensus.app/papers/details/65e98627513e50239c6c926dd2ccbe4c/</t>
  </si>
  <si>
    <t xml:space="preserve">Per system_class summary (IN-scope studies)</t>
  </si>
  <si>
    <t xml:space="preserve"># studies</t>
  </si>
  <si>
    <t xml:space="preserve">extracted rows (live)</t>
  </si>
  <si>
    <t xml:space="preserve">status vs 40-row rule</t>
  </si>
  <si>
    <t xml:space="preserve">exploratory-only (&lt;40 rows)</t>
  </si>
  <si>
    <t xml:space="preserve">TOTAL</t>
  </si>
  <si>
    <t xml:space="preserve">Note: 'extracted rows (live)' counts only the first headline rows entered so far (see Extraction sheet). All classes are below the 40-row adequacy threshold until table/figure extraction is completed.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</si>
</sst>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4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/>
      <c r="B10" s="4"/>
    </row>
    <row r="11" customFormat="false" ht="15" hidden="false" customHeight="false" outlineLevel="0" collapsed="false">
      <c r="A11" s="5" t="s">
        <v>14</v>
      </c>
      <c r="B11" s="6"/>
    </row>
    <row r="12" customFormat="false" ht="15" hidden="false" customHeight="false" outlineLevel="0" collapsed="false">
      <c r="A12" s="3" t="s">
        <v>15</v>
      </c>
      <c r="B12" s="4" t="s">
        <v>16</v>
      </c>
    </row>
    <row r="13" customFormat="false" ht="15" hidden="false" customHeight="false" outlineLevel="0" collapsed="false">
      <c r="A13" s="3" t="s">
        <v>17</v>
      </c>
      <c r="B13" s="4" t="s">
        <v>18</v>
      </c>
    </row>
    <row r="14" customFormat="false" ht="15" hidden="false" customHeight="false" outlineLevel="0" collapsed="false">
      <c r="A14" s="3" t="s">
        <v>19</v>
      </c>
      <c r="B14" s="4" t="s">
        <v>20</v>
      </c>
    </row>
    <row r="15" customFormat="false" ht="15" hidden="false" customHeight="false" outlineLevel="0" collapsed="false">
      <c r="A15" s="3"/>
      <c r="B15" s="4"/>
    </row>
    <row r="16" customFormat="false" ht="15" hidden="false" customHeight="false" outlineLevel="0" collapsed="false">
      <c r="A16" s="3" t="s">
        <v>21</v>
      </c>
      <c r="B16" s="4" t="s">
        <v>22</v>
      </c>
    </row>
    <row r="17" customFormat="false" ht="15" hidden="false" customHeight="false" outlineLevel="0" collapsed="false">
      <c r="A17" s="3" t="s">
        <v>23</v>
      </c>
      <c r="B17" s="4" t="s">
        <v>24</v>
      </c>
    </row>
    <row r="18" customFormat="false" ht="15" hidden="false" customHeight="false" outlineLevel="0" collapsed="false">
      <c r="A18" s="3" t="s">
        <v>25</v>
      </c>
      <c r="B18" s="4" t="s">
        <v>26</v>
      </c>
    </row>
    <row r="19" customFormat="false" ht="15" hidden="false" customHeight="false" outlineLevel="0" collapsed="false">
      <c r="A19" s="3"/>
      <c r="B19" s="4"/>
    </row>
    <row r="20" customFormat="false" ht="15" hidden="false" customHeight="false" outlineLevel="0" collapsed="false">
      <c r="A20" s="5" t="s">
        <v>27</v>
      </c>
      <c r="B20" s="6"/>
    </row>
    <row r="21" customFormat="false" ht="15" hidden="false" customHeight="false" outlineLevel="0" collapsed="false">
      <c r="A21" s="3" t="s">
        <v>28</v>
      </c>
      <c r="B21" s="4" t="s">
        <v>29</v>
      </c>
    </row>
    <row r="22" customFormat="false" ht="15" hidden="false" customHeight="false" outlineLevel="0" collapsed="false">
      <c r="A22" s="3" t="s">
        <v>30</v>
      </c>
      <c r="B22" s="4" t="s">
        <v>31</v>
      </c>
    </row>
    <row r="23" customFormat="false" ht="15" hidden="false" customHeight="false" outlineLevel="0" collapsed="false">
      <c r="A23" s="3" t="s">
        <v>32</v>
      </c>
      <c r="B23" s="4" t="s">
        <v>33</v>
      </c>
    </row>
    <row r="24" customFormat="false" ht="15" hidden="false" customHeight="false" outlineLevel="0" collapsed="false">
      <c r="A24" s="3" t="s">
        <v>34</v>
      </c>
      <c r="B24" s="4" t="s">
        <v>35</v>
      </c>
    </row>
    <row r="25" customFormat="false" ht="15" hidden="false" customHeight="false" outlineLevel="0" collapsed="false">
      <c r="A25" s="3"/>
      <c r="B25" s="4"/>
    </row>
    <row r="26" customFormat="false" ht="23.85" hidden="false" customHeight="false" outlineLevel="0" collapsed="false">
      <c r="A26" s="3" t="s">
        <v>36</v>
      </c>
      <c r="B26" s="4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6"/>
    <col collapsed="false" customWidth="true" hidden="false" outlineLevel="0" max="5" min="5" style="0" width="24"/>
    <col collapsed="false" customWidth="true" hidden="false" outlineLevel="0" max="6" min="6" style="0" width="46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52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</row>
    <row r="2" customFormat="false" ht="46.25" hidden="false" customHeight="false" outlineLevel="0" collapsed="false">
      <c r="A2" s="8" t="n">
        <v>1</v>
      </c>
      <c r="B2" s="8" t="s">
        <v>49</v>
      </c>
      <c r="C2" s="8" t="s">
        <v>50</v>
      </c>
      <c r="D2" s="8" t="n">
        <v>2013</v>
      </c>
      <c r="E2" s="8" t="s">
        <v>51</v>
      </c>
      <c r="F2" s="8" t="s">
        <v>52</v>
      </c>
      <c r="G2" s="8" t="s">
        <v>53</v>
      </c>
      <c r="H2" s="8" t="s">
        <v>54</v>
      </c>
      <c r="I2" s="8" t="s">
        <v>15</v>
      </c>
      <c r="J2" s="8" t="s">
        <v>55</v>
      </c>
      <c r="K2" s="8" t="s">
        <v>56</v>
      </c>
    </row>
    <row r="3" customFormat="false" ht="46.25" hidden="false" customHeight="false" outlineLevel="0" collapsed="false">
      <c r="A3" s="8" t="n">
        <v>2</v>
      </c>
      <c r="B3" s="8" t="s">
        <v>57</v>
      </c>
      <c r="C3" s="8" t="s">
        <v>58</v>
      </c>
      <c r="D3" s="8" t="n">
        <v>2024</v>
      </c>
      <c r="E3" s="8" t="s">
        <v>59</v>
      </c>
      <c r="F3" s="8" t="s">
        <v>60</v>
      </c>
      <c r="G3" s="8" t="s">
        <v>53</v>
      </c>
      <c r="H3" s="8" t="s">
        <v>54</v>
      </c>
      <c r="I3" s="8" t="s">
        <v>15</v>
      </c>
      <c r="J3" s="8" t="s">
        <v>61</v>
      </c>
      <c r="K3" s="8" t="s">
        <v>62</v>
      </c>
    </row>
    <row r="4" customFormat="false" ht="46.25" hidden="false" customHeight="false" outlineLevel="0" collapsed="false">
      <c r="A4" s="8" t="n">
        <v>3</v>
      </c>
      <c r="B4" s="8" t="s">
        <v>63</v>
      </c>
      <c r="C4" s="8" t="s">
        <v>64</v>
      </c>
      <c r="D4" s="8" t="n">
        <v>2024</v>
      </c>
      <c r="E4" s="8" t="s">
        <v>65</v>
      </c>
      <c r="F4" s="8" t="s">
        <v>66</v>
      </c>
      <c r="G4" s="8" t="s">
        <v>53</v>
      </c>
      <c r="H4" s="8" t="s">
        <v>54</v>
      </c>
      <c r="I4" s="8" t="s">
        <v>15</v>
      </c>
      <c r="J4" s="8" t="s">
        <v>67</v>
      </c>
      <c r="K4" s="8" t="s">
        <v>68</v>
      </c>
    </row>
    <row r="5" customFormat="false" ht="46.25" hidden="false" customHeight="false" outlineLevel="0" collapsed="false">
      <c r="A5" s="8" t="n">
        <v>4</v>
      </c>
      <c r="B5" s="8" t="s">
        <v>69</v>
      </c>
      <c r="C5" s="8" t="s">
        <v>70</v>
      </c>
      <c r="D5" s="8" t="n">
        <v>2022</v>
      </c>
      <c r="E5" s="8" t="s">
        <v>71</v>
      </c>
      <c r="F5" s="8" t="s">
        <v>72</v>
      </c>
      <c r="G5" s="8" t="s">
        <v>53</v>
      </c>
      <c r="H5" s="8" t="s">
        <v>54</v>
      </c>
      <c r="I5" s="8" t="s">
        <v>15</v>
      </c>
      <c r="J5" s="8" t="s">
        <v>73</v>
      </c>
      <c r="K5" s="8" t="s">
        <v>74</v>
      </c>
    </row>
    <row r="6" customFormat="false" ht="46.25" hidden="false" customHeight="false" outlineLevel="0" collapsed="false">
      <c r="A6" s="8" t="n">
        <v>5</v>
      </c>
      <c r="B6" s="8" t="s">
        <v>75</v>
      </c>
      <c r="C6" s="8" t="s">
        <v>76</v>
      </c>
      <c r="D6" s="8" t="n">
        <v>2010</v>
      </c>
      <c r="E6" s="8" t="s">
        <v>77</v>
      </c>
      <c r="F6" s="8" t="s">
        <v>78</v>
      </c>
      <c r="G6" s="8" t="s">
        <v>53</v>
      </c>
      <c r="H6" s="8" t="s">
        <v>54</v>
      </c>
      <c r="I6" s="8" t="s">
        <v>15</v>
      </c>
      <c r="J6" s="8" t="s">
        <v>79</v>
      </c>
      <c r="K6" s="8" t="s">
        <v>80</v>
      </c>
    </row>
    <row r="7" customFormat="false" ht="46.25" hidden="false" customHeight="false" outlineLevel="0" collapsed="false">
      <c r="A7" s="8" t="n">
        <v>6</v>
      </c>
      <c r="B7" s="8" t="s">
        <v>81</v>
      </c>
      <c r="C7" s="8" t="s">
        <v>82</v>
      </c>
      <c r="D7" s="8" t="n">
        <v>2016</v>
      </c>
      <c r="E7" s="8" t="s">
        <v>51</v>
      </c>
      <c r="F7" s="8" t="s">
        <v>83</v>
      </c>
      <c r="G7" s="8" t="s">
        <v>84</v>
      </c>
      <c r="H7" s="8" t="s">
        <v>54</v>
      </c>
      <c r="I7" s="8" t="s">
        <v>15</v>
      </c>
      <c r="J7" s="8" t="s">
        <v>85</v>
      </c>
      <c r="K7" s="8" t="s">
        <v>86</v>
      </c>
    </row>
    <row r="8" customFormat="false" ht="46.25" hidden="false" customHeight="false" outlineLevel="0" collapsed="false">
      <c r="A8" s="8" t="n">
        <v>7</v>
      </c>
      <c r="B8" s="8" t="s">
        <v>87</v>
      </c>
      <c r="C8" s="8" t="s">
        <v>88</v>
      </c>
      <c r="D8" s="8" t="n">
        <v>2021</v>
      </c>
      <c r="E8" s="8" t="s">
        <v>89</v>
      </c>
      <c r="F8" s="8" t="s">
        <v>90</v>
      </c>
      <c r="G8" s="8" t="s">
        <v>53</v>
      </c>
      <c r="H8" s="8" t="s">
        <v>54</v>
      </c>
      <c r="I8" s="8" t="s">
        <v>15</v>
      </c>
      <c r="J8" s="8" t="s">
        <v>91</v>
      </c>
      <c r="K8" s="8" t="s">
        <v>92</v>
      </c>
    </row>
    <row r="9" customFormat="false" ht="46.25" hidden="false" customHeight="false" outlineLevel="0" collapsed="false">
      <c r="A9" s="8" t="n">
        <v>8</v>
      </c>
      <c r="B9" s="8" t="s">
        <v>93</v>
      </c>
      <c r="C9" s="8" t="s">
        <v>94</v>
      </c>
      <c r="D9" s="8" t="n">
        <v>2021</v>
      </c>
      <c r="E9" s="8" t="s">
        <v>51</v>
      </c>
      <c r="F9" s="8" t="s">
        <v>95</v>
      </c>
      <c r="G9" s="8" t="s">
        <v>84</v>
      </c>
      <c r="H9" s="8" t="s">
        <v>54</v>
      </c>
      <c r="I9" s="8" t="s">
        <v>15</v>
      </c>
      <c r="J9" s="8" t="s">
        <v>96</v>
      </c>
      <c r="K9" s="8" t="s">
        <v>97</v>
      </c>
    </row>
    <row r="10" customFormat="false" ht="46.25" hidden="false" customHeight="false" outlineLevel="0" collapsed="false">
      <c r="A10" s="8" t="n">
        <v>9</v>
      </c>
      <c r="B10" s="8" t="s">
        <v>98</v>
      </c>
      <c r="C10" s="8" t="s">
        <v>99</v>
      </c>
      <c r="D10" s="8" t="n">
        <v>2018</v>
      </c>
      <c r="E10" s="8" t="s">
        <v>100</v>
      </c>
      <c r="F10" s="8" t="s">
        <v>101</v>
      </c>
      <c r="G10" s="8" t="s">
        <v>102</v>
      </c>
      <c r="H10" s="8" t="s">
        <v>54</v>
      </c>
      <c r="I10" s="8" t="s">
        <v>15</v>
      </c>
      <c r="J10" s="8" t="s">
        <v>103</v>
      </c>
      <c r="K10" s="8" t="s">
        <v>104</v>
      </c>
    </row>
    <row r="11" customFormat="false" ht="46.25" hidden="false" customHeight="false" outlineLevel="0" collapsed="false">
      <c r="A11" s="8" t="n">
        <v>10</v>
      </c>
      <c r="B11" s="8" t="s">
        <v>105</v>
      </c>
      <c r="C11" s="8" t="s">
        <v>106</v>
      </c>
      <c r="D11" s="8" t="n">
        <v>2021</v>
      </c>
      <c r="E11" s="8" t="s">
        <v>51</v>
      </c>
      <c r="F11" s="8" t="s">
        <v>107</v>
      </c>
      <c r="G11" s="8" t="s">
        <v>102</v>
      </c>
      <c r="H11" s="8" t="s">
        <v>54</v>
      </c>
      <c r="I11" s="8" t="s">
        <v>15</v>
      </c>
      <c r="J11" s="8" t="s">
        <v>108</v>
      </c>
      <c r="K11" s="8" t="s">
        <v>109</v>
      </c>
    </row>
    <row r="12" customFormat="false" ht="46.25" hidden="false" customHeight="false" outlineLevel="0" collapsed="false">
      <c r="A12" s="8" t="n">
        <v>11</v>
      </c>
      <c r="B12" s="8" t="s">
        <v>110</v>
      </c>
      <c r="C12" s="8" t="s">
        <v>111</v>
      </c>
      <c r="D12" s="8" t="n">
        <v>2024</v>
      </c>
      <c r="E12" s="8" t="s">
        <v>51</v>
      </c>
      <c r="F12" s="8" t="s">
        <v>112</v>
      </c>
      <c r="G12" s="8" t="s">
        <v>102</v>
      </c>
      <c r="H12" s="8" t="s">
        <v>54</v>
      </c>
      <c r="I12" s="8" t="s">
        <v>15</v>
      </c>
      <c r="J12" s="8" t="s">
        <v>113</v>
      </c>
      <c r="K12" s="8" t="s">
        <v>114</v>
      </c>
    </row>
    <row r="13" customFormat="false" ht="46.25" hidden="false" customHeight="false" outlineLevel="0" collapsed="false">
      <c r="A13" s="8" t="n">
        <v>12</v>
      </c>
      <c r="B13" s="8" t="s">
        <v>115</v>
      </c>
      <c r="C13" s="8" t="s">
        <v>116</v>
      </c>
      <c r="D13" s="8" t="n">
        <v>2023</v>
      </c>
      <c r="E13" s="8" t="s">
        <v>51</v>
      </c>
      <c r="F13" s="8" t="s">
        <v>117</v>
      </c>
      <c r="G13" s="8" t="s">
        <v>102</v>
      </c>
      <c r="H13" s="8" t="s">
        <v>54</v>
      </c>
      <c r="I13" s="8" t="s">
        <v>15</v>
      </c>
      <c r="J13" s="8" t="s">
        <v>118</v>
      </c>
      <c r="K13" s="8" t="s">
        <v>119</v>
      </c>
    </row>
    <row r="14" customFormat="false" ht="46.25" hidden="false" customHeight="false" outlineLevel="0" collapsed="false">
      <c r="A14" s="8" t="n">
        <v>13</v>
      </c>
      <c r="B14" s="8" t="s">
        <v>120</v>
      </c>
      <c r="C14" s="8" t="s">
        <v>121</v>
      </c>
      <c r="D14" s="8" t="n">
        <v>2012</v>
      </c>
      <c r="E14" s="8" t="s">
        <v>122</v>
      </c>
      <c r="F14" s="8" t="s">
        <v>123</v>
      </c>
      <c r="G14" s="8" t="s">
        <v>102</v>
      </c>
      <c r="H14" s="8" t="s">
        <v>54</v>
      </c>
      <c r="I14" s="8" t="s">
        <v>15</v>
      </c>
      <c r="J14" s="8" t="s">
        <v>124</v>
      </c>
      <c r="K14" s="8" t="s">
        <v>125</v>
      </c>
    </row>
    <row r="15" customFormat="false" ht="46.25" hidden="false" customHeight="false" outlineLevel="0" collapsed="false">
      <c r="A15" s="9" t="n">
        <v>14</v>
      </c>
      <c r="B15" s="9" t="s">
        <v>126</v>
      </c>
      <c r="C15" s="9" t="s">
        <v>127</v>
      </c>
      <c r="D15" s="9" t="n">
        <v>2018</v>
      </c>
      <c r="E15" s="9" t="s">
        <v>89</v>
      </c>
      <c r="F15" s="9" t="s">
        <v>128</v>
      </c>
      <c r="G15" s="9" t="s">
        <v>102</v>
      </c>
      <c r="H15" s="9" t="s">
        <v>54</v>
      </c>
      <c r="I15" s="9" t="s">
        <v>129</v>
      </c>
      <c r="J15" s="9" t="s">
        <v>130</v>
      </c>
      <c r="K15" s="9" t="s">
        <v>131</v>
      </c>
    </row>
    <row r="16" customFormat="false" ht="46.25" hidden="false" customHeight="false" outlineLevel="0" collapsed="false">
      <c r="A16" s="8" t="n">
        <v>15</v>
      </c>
      <c r="B16" s="8" t="s">
        <v>132</v>
      </c>
      <c r="C16" s="8" t="s">
        <v>99</v>
      </c>
      <c r="D16" s="8" t="n">
        <v>2018</v>
      </c>
      <c r="E16" s="8" t="s">
        <v>100</v>
      </c>
      <c r="F16" s="8" t="s">
        <v>133</v>
      </c>
      <c r="G16" s="8" t="s">
        <v>102</v>
      </c>
      <c r="H16" s="8" t="s">
        <v>54</v>
      </c>
      <c r="I16" s="8" t="s">
        <v>15</v>
      </c>
      <c r="J16" s="8" t="s">
        <v>134</v>
      </c>
      <c r="K16" s="8" t="s">
        <v>135</v>
      </c>
    </row>
    <row r="17" customFormat="false" ht="46.25" hidden="false" customHeight="false" outlineLevel="0" collapsed="false">
      <c r="A17" s="8" t="n">
        <v>16</v>
      </c>
      <c r="B17" s="8" t="s">
        <v>136</v>
      </c>
      <c r="C17" s="8" t="s">
        <v>137</v>
      </c>
      <c r="D17" s="8" t="n">
        <v>2023</v>
      </c>
      <c r="E17" s="8" t="s">
        <v>51</v>
      </c>
      <c r="F17" s="8" t="s">
        <v>138</v>
      </c>
      <c r="G17" s="8" t="s">
        <v>102</v>
      </c>
      <c r="H17" s="8" t="s">
        <v>54</v>
      </c>
      <c r="I17" s="8" t="s">
        <v>15</v>
      </c>
      <c r="J17" s="8" t="s">
        <v>139</v>
      </c>
      <c r="K17" s="8" t="s">
        <v>140</v>
      </c>
    </row>
    <row r="18" customFormat="false" ht="46.25" hidden="false" customHeight="false" outlineLevel="0" collapsed="false">
      <c r="A18" s="8" t="n">
        <v>17</v>
      </c>
      <c r="B18" s="8" t="s">
        <v>141</v>
      </c>
      <c r="C18" s="8" t="s">
        <v>137</v>
      </c>
      <c r="D18" s="8" t="n">
        <v>2023</v>
      </c>
      <c r="E18" s="8" t="s">
        <v>142</v>
      </c>
      <c r="F18" s="8" t="s">
        <v>143</v>
      </c>
      <c r="G18" s="8" t="s">
        <v>102</v>
      </c>
      <c r="H18" s="8" t="s">
        <v>54</v>
      </c>
      <c r="I18" s="8" t="s">
        <v>15</v>
      </c>
      <c r="J18" s="8" t="s">
        <v>144</v>
      </c>
      <c r="K18" s="8" t="s">
        <v>145</v>
      </c>
    </row>
    <row r="19" customFormat="false" ht="46.25" hidden="false" customHeight="false" outlineLevel="0" collapsed="false">
      <c r="A19" s="8" t="n">
        <v>18</v>
      </c>
      <c r="B19" s="8" t="s">
        <v>146</v>
      </c>
      <c r="C19" s="8" t="s">
        <v>147</v>
      </c>
      <c r="D19" s="8" t="n">
        <v>2017</v>
      </c>
      <c r="E19" s="8" t="s">
        <v>148</v>
      </c>
      <c r="F19" s="8" t="s">
        <v>149</v>
      </c>
      <c r="G19" s="8" t="s">
        <v>102</v>
      </c>
      <c r="H19" s="8" t="s">
        <v>54</v>
      </c>
      <c r="I19" s="8" t="s">
        <v>15</v>
      </c>
      <c r="J19" s="8" t="s">
        <v>150</v>
      </c>
      <c r="K19" s="8" t="s">
        <v>151</v>
      </c>
    </row>
    <row r="20" customFormat="false" ht="46.25" hidden="false" customHeight="false" outlineLevel="0" collapsed="false">
      <c r="A20" s="8" t="n">
        <v>19</v>
      </c>
      <c r="B20" s="8" t="s">
        <v>152</v>
      </c>
      <c r="C20" s="8" t="s">
        <v>153</v>
      </c>
      <c r="D20" s="8" t="n">
        <v>2020</v>
      </c>
      <c r="E20" s="8" t="s">
        <v>154</v>
      </c>
      <c r="F20" s="8" t="s">
        <v>155</v>
      </c>
      <c r="G20" s="8" t="s">
        <v>102</v>
      </c>
      <c r="H20" s="8" t="s">
        <v>54</v>
      </c>
      <c r="I20" s="8" t="s">
        <v>15</v>
      </c>
      <c r="J20" s="8" t="s">
        <v>156</v>
      </c>
      <c r="K20" s="8" t="s">
        <v>157</v>
      </c>
    </row>
    <row r="21" customFormat="false" ht="46.25" hidden="false" customHeight="false" outlineLevel="0" collapsed="false">
      <c r="A21" s="8" t="n">
        <v>20</v>
      </c>
      <c r="B21" s="8" t="s">
        <v>158</v>
      </c>
      <c r="C21" s="8" t="s">
        <v>159</v>
      </c>
      <c r="D21" s="8" t="n">
        <v>2018</v>
      </c>
      <c r="E21" s="8" t="s">
        <v>89</v>
      </c>
      <c r="F21" s="8" t="s">
        <v>160</v>
      </c>
      <c r="G21" s="8" t="s">
        <v>102</v>
      </c>
      <c r="H21" s="8" t="s">
        <v>54</v>
      </c>
      <c r="I21" s="8" t="s">
        <v>15</v>
      </c>
      <c r="J21" s="8" t="s">
        <v>161</v>
      </c>
      <c r="K21" s="8" t="s">
        <v>162</v>
      </c>
    </row>
    <row r="22" customFormat="false" ht="46.25" hidden="false" customHeight="false" outlineLevel="0" collapsed="false">
      <c r="A22" s="8" t="n">
        <v>21</v>
      </c>
      <c r="B22" s="8" t="s">
        <v>163</v>
      </c>
      <c r="C22" s="8" t="s">
        <v>164</v>
      </c>
      <c r="D22" s="8" t="n">
        <v>2016</v>
      </c>
      <c r="E22" s="8" t="s">
        <v>51</v>
      </c>
      <c r="F22" s="8" t="s">
        <v>165</v>
      </c>
      <c r="G22" s="8" t="s">
        <v>102</v>
      </c>
      <c r="H22" s="8" t="s">
        <v>54</v>
      </c>
      <c r="I22" s="8" t="s">
        <v>15</v>
      </c>
      <c r="J22" s="8" t="s">
        <v>166</v>
      </c>
      <c r="K22" s="8" t="s">
        <v>167</v>
      </c>
    </row>
    <row r="23" customFormat="false" ht="46.25" hidden="false" customHeight="false" outlineLevel="0" collapsed="false">
      <c r="A23" s="9" t="n">
        <v>22</v>
      </c>
      <c r="B23" s="9" t="s">
        <v>168</v>
      </c>
      <c r="C23" s="9" t="s">
        <v>169</v>
      </c>
      <c r="D23" s="9" t="n">
        <v>2024</v>
      </c>
      <c r="E23" s="9" t="s">
        <v>170</v>
      </c>
      <c r="F23" s="9" t="s">
        <v>171</v>
      </c>
      <c r="G23" s="9" t="s">
        <v>102</v>
      </c>
      <c r="H23" s="9" t="s">
        <v>54</v>
      </c>
      <c r="I23" s="9" t="s">
        <v>172</v>
      </c>
      <c r="J23" s="9" t="s">
        <v>173</v>
      </c>
      <c r="K23" s="9" t="s">
        <v>174</v>
      </c>
    </row>
    <row r="24" customFormat="false" ht="46.25" hidden="false" customHeight="false" outlineLevel="0" collapsed="false">
      <c r="A24" s="8" t="n">
        <v>23</v>
      </c>
      <c r="B24" s="8" t="s">
        <v>175</v>
      </c>
      <c r="C24" s="8" t="s">
        <v>176</v>
      </c>
      <c r="D24" s="8" t="n">
        <v>2016</v>
      </c>
      <c r="E24" s="8" t="s">
        <v>51</v>
      </c>
      <c r="F24" s="8" t="s">
        <v>177</v>
      </c>
      <c r="G24" s="8" t="s">
        <v>102</v>
      </c>
      <c r="H24" s="8" t="s">
        <v>54</v>
      </c>
      <c r="I24" s="8" t="s">
        <v>15</v>
      </c>
      <c r="J24" s="8" t="s">
        <v>178</v>
      </c>
      <c r="K24" s="8" t="s">
        <v>179</v>
      </c>
    </row>
    <row r="25" customFormat="false" ht="46.25" hidden="false" customHeight="false" outlineLevel="0" collapsed="false">
      <c r="A25" s="8" t="n">
        <v>24</v>
      </c>
      <c r="B25" s="8" t="s">
        <v>180</v>
      </c>
      <c r="C25" s="8" t="s">
        <v>181</v>
      </c>
      <c r="D25" s="8" t="n">
        <v>2020</v>
      </c>
      <c r="E25" s="8" t="s">
        <v>51</v>
      </c>
      <c r="F25" s="8" t="s">
        <v>182</v>
      </c>
      <c r="G25" s="8" t="s">
        <v>84</v>
      </c>
      <c r="H25" s="8" t="s">
        <v>54</v>
      </c>
      <c r="I25" s="8" t="s">
        <v>15</v>
      </c>
      <c r="J25" s="8" t="s">
        <v>183</v>
      </c>
      <c r="K25" s="8" t="s">
        <v>184</v>
      </c>
    </row>
    <row r="26" customFormat="false" ht="35.05" hidden="false" customHeight="false" outlineLevel="0" collapsed="false">
      <c r="A26" s="8" t="n">
        <v>25</v>
      </c>
      <c r="B26" s="8" t="s">
        <v>185</v>
      </c>
      <c r="C26" s="8" t="s">
        <v>99</v>
      </c>
      <c r="D26" s="8" t="n">
        <v>2018</v>
      </c>
      <c r="E26" s="8" t="s">
        <v>100</v>
      </c>
      <c r="F26" s="8" t="s">
        <v>186</v>
      </c>
      <c r="G26" s="8" t="s">
        <v>84</v>
      </c>
      <c r="H26" s="8" t="s">
        <v>54</v>
      </c>
      <c r="I26" s="8" t="s">
        <v>15</v>
      </c>
      <c r="J26" s="8" t="s">
        <v>187</v>
      </c>
      <c r="K26" s="8" t="s">
        <v>188</v>
      </c>
    </row>
    <row r="27" customFormat="false" ht="46.25" hidden="false" customHeight="false" outlineLevel="0" collapsed="false">
      <c r="A27" s="8" t="n">
        <v>26</v>
      </c>
      <c r="B27" s="8" t="s">
        <v>189</v>
      </c>
      <c r="C27" s="8" t="s">
        <v>190</v>
      </c>
      <c r="D27" s="8" t="n">
        <v>2019</v>
      </c>
      <c r="E27" s="8" t="s">
        <v>191</v>
      </c>
      <c r="F27" s="8" t="s">
        <v>192</v>
      </c>
      <c r="G27" s="8" t="s">
        <v>84</v>
      </c>
      <c r="H27" s="8" t="s">
        <v>54</v>
      </c>
      <c r="I27" s="8" t="s">
        <v>15</v>
      </c>
      <c r="J27" s="8" t="s">
        <v>193</v>
      </c>
      <c r="K27" s="8" t="s">
        <v>194</v>
      </c>
    </row>
    <row r="28" customFormat="false" ht="46.25" hidden="false" customHeight="false" outlineLevel="0" collapsed="false">
      <c r="A28" s="8" t="n">
        <v>27</v>
      </c>
      <c r="B28" s="8" t="s">
        <v>195</v>
      </c>
      <c r="C28" s="8" t="s">
        <v>196</v>
      </c>
      <c r="D28" s="8" t="n">
        <v>2022</v>
      </c>
      <c r="E28" s="8" t="s">
        <v>51</v>
      </c>
      <c r="F28" s="8" t="s">
        <v>197</v>
      </c>
      <c r="G28" s="8" t="s">
        <v>198</v>
      </c>
      <c r="H28" s="8" t="s">
        <v>199</v>
      </c>
      <c r="I28" s="8" t="s">
        <v>15</v>
      </c>
      <c r="J28" s="8" t="s">
        <v>200</v>
      </c>
      <c r="K28" s="8" t="s">
        <v>201</v>
      </c>
    </row>
    <row r="29" customFormat="false" ht="46.25" hidden="false" customHeight="false" outlineLevel="0" collapsed="false">
      <c r="A29" s="8" t="n">
        <v>28</v>
      </c>
      <c r="B29" s="8" t="s">
        <v>202</v>
      </c>
      <c r="C29" s="8" t="s">
        <v>203</v>
      </c>
      <c r="D29" s="8" t="n">
        <v>2020</v>
      </c>
      <c r="E29" s="8" t="s">
        <v>204</v>
      </c>
      <c r="F29" s="8" t="s">
        <v>205</v>
      </c>
      <c r="G29" s="8" t="s">
        <v>198</v>
      </c>
      <c r="H29" s="8" t="s">
        <v>199</v>
      </c>
      <c r="I29" s="8" t="s">
        <v>15</v>
      </c>
      <c r="J29" s="8" t="s">
        <v>206</v>
      </c>
      <c r="K29" s="8" t="s">
        <v>207</v>
      </c>
    </row>
    <row r="30" customFormat="false" ht="46.25" hidden="false" customHeight="false" outlineLevel="0" collapsed="false">
      <c r="A30" s="8" t="n">
        <v>29</v>
      </c>
      <c r="B30" s="8" t="s">
        <v>208</v>
      </c>
      <c r="C30" s="8" t="s">
        <v>209</v>
      </c>
      <c r="D30" s="8" t="n">
        <v>2017</v>
      </c>
      <c r="E30" s="8" t="s">
        <v>51</v>
      </c>
      <c r="F30" s="8" t="s">
        <v>210</v>
      </c>
      <c r="G30" s="8" t="s">
        <v>198</v>
      </c>
      <c r="H30" s="8" t="s">
        <v>199</v>
      </c>
      <c r="I30" s="8" t="s">
        <v>15</v>
      </c>
      <c r="J30" s="8" t="s">
        <v>211</v>
      </c>
      <c r="K30" s="8" t="s">
        <v>212</v>
      </c>
    </row>
    <row r="31" customFormat="false" ht="46.25" hidden="false" customHeight="false" outlineLevel="0" collapsed="false">
      <c r="A31" s="8" t="n">
        <v>30</v>
      </c>
      <c r="B31" s="8" t="s">
        <v>213</v>
      </c>
      <c r="C31" s="8" t="s">
        <v>196</v>
      </c>
      <c r="D31" s="8" t="n">
        <v>2023</v>
      </c>
      <c r="E31" s="8" t="s">
        <v>214</v>
      </c>
      <c r="F31" s="8" t="s">
        <v>215</v>
      </c>
      <c r="G31" s="8" t="s">
        <v>198</v>
      </c>
      <c r="H31" s="8" t="s">
        <v>199</v>
      </c>
      <c r="I31" s="8" t="s">
        <v>15</v>
      </c>
      <c r="J31" s="8" t="s">
        <v>216</v>
      </c>
      <c r="K31" s="8" t="s">
        <v>217</v>
      </c>
    </row>
    <row r="32" customFormat="false" ht="46.25" hidden="false" customHeight="false" outlineLevel="0" collapsed="false">
      <c r="A32" s="8" t="n">
        <v>31</v>
      </c>
      <c r="B32" s="8" t="s">
        <v>218</v>
      </c>
      <c r="C32" s="8" t="s">
        <v>219</v>
      </c>
      <c r="D32" s="8" t="n">
        <v>2019</v>
      </c>
      <c r="E32" s="8" t="s">
        <v>51</v>
      </c>
      <c r="F32" s="8" t="s">
        <v>220</v>
      </c>
      <c r="G32" s="8" t="s">
        <v>198</v>
      </c>
      <c r="H32" s="8" t="s">
        <v>199</v>
      </c>
      <c r="I32" s="8" t="s">
        <v>15</v>
      </c>
      <c r="J32" s="8" t="s">
        <v>221</v>
      </c>
      <c r="K32" s="8" t="s">
        <v>222</v>
      </c>
    </row>
    <row r="33" customFormat="false" ht="46.25" hidden="false" customHeight="false" outlineLevel="0" collapsed="false">
      <c r="A33" s="8" t="n">
        <v>32</v>
      </c>
      <c r="B33" s="8" t="s">
        <v>223</v>
      </c>
      <c r="C33" s="8" t="s">
        <v>224</v>
      </c>
      <c r="D33" s="8" t="n">
        <v>2022</v>
      </c>
      <c r="E33" s="8" t="s">
        <v>148</v>
      </c>
      <c r="F33" s="8" t="s">
        <v>225</v>
      </c>
      <c r="G33" s="8" t="s">
        <v>198</v>
      </c>
      <c r="H33" s="8" t="s">
        <v>199</v>
      </c>
      <c r="I33" s="8" t="s">
        <v>15</v>
      </c>
      <c r="J33" s="8" t="s">
        <v>226</v>
      </c>
      <c r="K33" s="8" t="s">
        <v>227</v>
      </c>
    </row>
    <row r="34" customFormat="false" ht="46.25" hidden="false" customHeight="false" outlineLevel="0" collapsed="false">
      <c r="A34" s="8" t="n">
        <v>33</v>
      </c>
      <c r="B34" s="8" t="s">
        <v>228</v>
      </c>
      <c r="C34" s="8" t="s">
        <v>203</v>
      </c>
      <c r="D34" s="8" t="n">
        <v>2021</v>
      </c>
      <c r="E34" s="8" t="s">
        <v>229</v>
      </c>
      <c r="F34" s="8" t="s">
        <v>230</v>
      </c>
      <c r="G34" s="8" t="s">
        <v>198</v>
      </c>
      <c r="H34" s="8" t="s">
        <v>199</v>
      </c>
      <c r="I34" s="8" t="s">
        <v>15</v>
      </c>
      <c r="J34" s="8" t="s">
        <v>231</v>
      </c>
      <c r="K34" s="8" t="s">
        <v>232</v>
      </c>
    </row>
    <row r="35" customFormat="false" ht="46.25" hidden="false" customHeight="false" outlineLevel="0" collapsed="false">
      <c r="A35" s="8" t="n">
        <v>34</v>
      </c>
      <c r="B35" s="8" t="s">
        <v>233</v>
      </c>
      <c r="C35" s="8" t="s">
        <v>234</v>
      </c>
      <c r="D35" s="8" t="n">
        <v>2021</v>
      </c>
      <c r="E35" s="8" t="s">
        <v>235</v>
      </c>
      <c r="F35" s="8" t="s">
        <v>236</v>
      </c>
      <c r="G35" s="8" t="s">
        <v>198</v>
      </c>
      <c r="H35" s="8" t="s">
        <v>199</v>
      </c>
      <c r="I35" s="8" t="s">
        <v>15</v>
      </c>
      <c r="J35" s="8" t="s">
        <v>237</v>
      </c>
      <c r="K35" s="8" t="s">
        <v>238</v>
      </c>
    </row>
    <row r="36" customFormat="false" ht="46.25" hidden="false" customHeight="false" outlineLevel="0" collapsed="false">
      <c r="A36" s="8" t="n">
        <v>35</v>
      </c>
      <c r="B36" s="8" t="s">
        <v>239</v>
      </c>
      <c r="C36" s="8" t="s">
        <v>240</v>
      </c>
      <c r="D36" s="8" t="n">
        <v>2021</v>
      </c>
      <c r="E36" s="8" t="s">
        <v>241</v>
      </c>
      <c r="F36" s="8" t="s">
        <v>242</v>
      </c>
      <c r="G36" s="8" t="s">
        <v>198</v>
      </c>
      <c r="H36" s="8" t="s">
        <v>199</v>
      </c>
      <c r="I36" s="8" t="s">
        <v>15</v>
      </c>
      <c r="J36" s="8" t="s">
        <v>243</v>
      </c>
      <c r="K36" s="8" t="s">
        <v>244</v>
      </c>
    </row>
    <row r="37" customFormat="false" ht="46.25" hidden="false" customHeight="false" outlineLevel="0" collapsed="false">
      <c r="A37" s="8" t="n">
        <v>36</v>
      </c>
      <c r="B37" s="8" t="s">
        <v>245</v>
      </c>
      <c r="C37" s="8" t="s">
        <v>246</v>
      </c>
      <c r="D37" s="8" t="n">
        <v>2014</v>
      </c>
      <c r="E37" s="8" t="s">
        <v>51</v>
      </c>
      <c r="F37" s="8" t="s">
        <v>247</v>
      </c>
      <c r="G37" s="8" t="s">
        <v>53</v>
      </c>
      <c r="H37" s="8" t="s">
        <v>199</v>
      </c>
      <c r="I37" s="8" t="s">
        <v>15</v>
      </c>
      <c r="J37" s="8" t="s">
        <v>248</v>
      </c>
      <c r="K37" s="8" t="s">
        <v>249</v>
      </c>
    </row>
    <row r="38" customFormat="false" ht="46.25" hidden="false" customHeight="false" outlineLevel="0" collapsed="false">
      <c r="A38" s="8" t="n">
        <v>37</v>
      </c>
      <c r="B38" s="8" t="s">
        <v>250</v>
      </c>
      <c r="C38" s="8" t="s">
        <v>251</v>
      </c>
      <c r="D38" s="8" t="n">
        <v>2015</v>
      </c>
      <c r="E38" s="8" t="s">
        <v>252</v>
      </c>
      <c r="F38" s="8" t="s">
        <v>253</v>
      </c>
      <c r="G38" s="8" t="s">
        <v>53</v>
      </c>
      <c r="H38" s="8" t="s">
        <v>254</v>
      </c>
      <c r="I38" s="8" t="s">
        <v>15</v>
      </c>
      <c r="J38" s="8" t="s">
        <v>255</v>
      </c>
      <c r="K38" s="8" t="s">
        <v>256</v>
      </c>
    </row>
    <row r="39" customFormat="false" ht="46.25" hidden="false" customHeight="false" outlineLevel="0" collapsed="false">
      <c r="A39" s="8" t="n">
        <v>38</v>
      </c>
      <c r="B39" s="8" t="s">
        <v>257</v>
      </c>
      <c r="C39" s="8" t="s">
        <v>258</v>
      </c>
      <c r="D39" s="8" t="n">
        <v>2025</v>
      </c>
      <c r="E39" s="8" t="s">
        <v>259</v>
      </c>
      <c r="F39" s="8" t="s">
        <v>260</v>
      </c>
      <c r="G39" s="8" t="s">
        <v>198</v>
      </c>
      <c r="H39" s="8" t="s">
        <v>254</v>
      </c>
      <c r="I39" s="8" t="s">
        <v>15</v>
      </c>
      <c r="J39" s="8" t="s">
        <v>261</v>
      </c>
      <c r="K39" s="8" t="s">
        <v>262</v>
      </c>
    </row>
    <row r="40" customFormat="false" ht="46.25" hidden="false" customHeight="false" outlineLevel="0" collapsed="false">
      <c r="A40" s="8" t="n">
        <v>39</v>
      </c>
      <c r="B40" s="8" t="s">
        <v>263</v>
      </c>
      <c r="C40" s="8" t="s">
        <v>264</v>
      </c>
      <c r="D40" s="8" t="n">
        <v>2016</v>
      </c>
      <c r="E40" s="8" t="s">
        <v>51</v>
      </c>
      <c r="F40" s="8" t="s">
        <v>265</v>
      </c>
      <c r="G40" s="8" t="s">
        <v>198</v>
      </c>
      <c r="H40" s="8" t="s">
        <v>254</v>
      </c>
      <c r="I40" s="8" t="s">
        <v>15</v>
      </c>
      <c r="J40" s="8" t="s">
        <v>266</v>
      </c>
      <c r="K40" s="8" t="s">
        <v>267</v>
      </c>
    </row>
    <row r="41" customFormat="false" ht="46.25" hidden="false" customHeight="false" outlineLevel="0" collapsed="false">
      <c r="A41" s="8" t="n">
        <v>40</v>
      </c>
      <c r="B41" s="8" t="s">
        <v>268</v>
      </c>
      <c r="C41" s="8" t="s">
        <v>269</v>
      </c>
      <c r="D41" s="8" t="n">
        <v>2019</v>
      </c>
      <c r="E41" s="8" t="s">
        <v>51</v>
      </c>
      <c r="F41" s="8" t="s">
        <v>270</v>
      </c>
      <c r="G41" s="8" t="s">
        <v>84</v>
      </c>
      <c r="H41" s="8" t="s">
        <v>254</v>
      </c>
      <c r="I41" s="8" t="s">
        <v>15</v>
      </c>
      <c r="J41" s="8" t="s">
        <v>271</v>
      </c>
      <c r="K41" s="8" t="s">
        <v>272</v>
      </c>
    </row>
    <row r="42" customFormat="false" ht="46.25" hidden="false" customHeight="false" outlineLevel="0" collapsed="false">
      <c r="A42" s="8" t="n">
        <v>41</v>
      </c>
      <c r="B42" s="8" t="s">
        <v>273</v>
      </c>
      <c r="C42" s="8" t="s">
        <v>82</v>
      </c>
      <c r="D42" s="8" t="n">
        <v>2013</v>
      </c>
      <c r="E42" s="8" t="s">
        <v>51</v>
      </c>
      <c r="F42" s="8" t="s">
        <v>274</v>
      </c>
      <c r="G42" s="8" t="s">
        <v>53</v>
      </c>
      <c r="H42" s="8" t="s">
        <v>275</v>
      </c>
      <c r="I42" s="8" t="s">
        <v>15</v>
      </c>
      <c r="J42" s="8" t="s">
        <v>276</v>
      </c>
      <c r="K42" s="8" t="s">
        <v>277</v>
      </c>
    </row>
    <row r="43" customFormat="false" ht="46.25" hidden="false" customHeight="false" outlineLevel="0" collapsed="false">
      <c r="A43" s="8" t="n">
        <v>42</v>
      </c>
      <c r="B43" s="8" t="s">
        <v>278</v>
      </c>
      <c r="C43" s="8" t="s">
        <v>279</v>
      </c>
      <c r="D43" s="8" t="n">
        <v>2020</v>
      </c>
      <c r="E43" s="8" t="s">
        <v>280</v>
      </c>
      <c r="F43" s="8" t="s">
        <v>281</v>
      </c>
      <c r="G43" s="8" t="s">
        <v>53</v>
      </c>
      <c r="H43" s="8" t="s">
        <v>275</v>
      </c>
      <c r="I43" s="8" t="s">
        <v>15</v>
      </c>
      <c r="J43" s="8" t="s">
        <v>282</v>
      </c>
      <c r="K43" s="8" t="s">
        <v>283</v>
      </c>
    </row>
    <row r="44" customFormat="false" ht="46.25" hidden="false" customHeight="false" outlineLevel="0" collapsed="false">
      <c r="A44" s="8" t="n">
        <v>43</v>
      </c>
      <c r="B44" s="8" t="s">
        <v>284</v>
      </c>
      <c r="C44" s="8" t="s">
        <v>285</v>
      </c>
      <c r="D44" s="8" t="n">
        <v>2018</v>
      </c>
      <c r="E44" s="8" t="s">
        <v>51</v>
      </c>
      <c r="F44" s="8" t="s">
        <v>286</v>
      </c>
      <c r="G44" s="8" t="s">
        <v>102</v>
      </c>
      <c r="H44" s="8" t="s">
        <v>275</v>
      </c>
      <c r="I44" s="8" t="s">
        <v>15</v>
      </c>
      <c r="J44" s="8" t="s">
        <v>287</v>
      </c>
      <c r="K44" s="8" t="s">
        <v>288</v>
      </c>
    </row>
    <row r="45" customFormat="false" ht="46.25" hidden="false" customHeight="false" outlineLevel="0" collapsed="false">
      <c r="A45" s="8" t="n">
        <v>44</v>
      </c>
      <c r="B45" s="8" t="s">
        <v>289</v>
      </c>
      <c r="C45" s="8" t="s">
        <v>203</v>
      </c>
      <c r="D45" s="8" t="n">
        <v>2021</v>
      </c>
      <c r="E45" s="8" t="s">
        <v>290</v>
      </c>
      <c r="F45" s="8" t="s">
        <v>291</v>
      </c>
      <c r="G45" s="8" t="s">
        <v>53</v>
      </c>
      <c r="H45" s="8" t="s">
        <v>275</v>
      </c>
      <c r="I45" s="8" t="s">
        <v>15</v>
      </c>
      <c r="J45" s="8" t="s">
        <v>292</v>
      </c>
      <c r="K45" s="8" t="s">
        <v>293</v>
      </c>
    </row>
    <row r="46" customFormat="false" ht="46.25" hidden="false" customHeight="false" outlineLevel="0" collapsed="false">
      <c r="A46" s="8" t="n">
        <v>45</v>
      </c>
      <c r="B46" s="8" t="s">
        <v>294</v>
      </c>
      <c r="C46" s="8" t="s">
        <v>279</v>
      </c>
      <c r="D46" s="8" t="n">
        <v>2018</v>
      </c>
      <c r="E46" s="8" t="s">
        <v>148</v>
      </c>
      <c r="F46" s="8" t="s">
        <v>295</v>
      </c>
      <c r="G46" s="8" t="s">
        <v>53</v>
      </c>
      <c r="H46" s="8" t="s">
        <v>275</v>
      </c>
      <c r="I46" s="8" t="s">
        <v>15</v>
      </c>
      <c r="J46" s="8" t="s">
        <v>296</v>
      </c>
      <c r="K46" s="8" t="s">
        <v>297</v>
      </c>
    </row>
    <row r="47" customFormat="false" ht="46.25" hidden="false" customHeight="false" outlineLevel="0" collapsed="false">
      <c r="A47" s="8" t="n">
        <v>46</v>
      </c>
      <c r="B47" s="8" t="s">
        <v>298</v>
      </c>
      <c r="C47" s="8" t="s">
        <v>299</v>
      </c>
      <c r="D47" s="8" t="n">
        <v>2018</v>
      </c>
      <c r="E47" s="8" t="s">
        <v>51</v>
      </c>
      <c r="F47" s="8" t="s">
        <v>300</v>
      </c>
      <c r="G47" s="8" t="s">
        <v>198</v>
      </c>
      <c r="H47" s="8" t="s">
        <v>275</v>
      </c>
      <c r="I47" s="8" t="s">
        <v>15</v>
      </c>
      <c r="J47" s="8" t="s">
        <v>301</v>
      </c>
      <c r="K47" s="8" t="s">
        <v>302</v>
      </c>
    </row>
    <row r="48" customFormat="false" ht="46.25" hidden="false" customHeight="false" outlineLevel="0" collapsed="false">
      <c r="A48" s="8" t="n">
        <v>47</v>
      </c>
      <c r="B48" s="8" t="s">
        <v>303</v>
      </c>
      <c r="C48" s="8" t="s">
        <v>299</v>
      </c>
      <c r="D48" s="8" t="n">
        <v>2019</v>
      </c>
      <c r="E48" s="8" t="s">
        <v>51</v>
      </c>
      <c r="F48" s="8" t="s">
        <v>304</v>
      </c>
      <c r="G48" s="8" t="s">
        <v>198</v>
      </c>
      <c r="H48" s="8" t="s">
        <v>275</v>
      </c>
      <c r="I48" s="8" t="s">
        <v>15</v>
      </c>
      <c r="J48" s="8" t="s">
        <v>305</v>
      </c>
      <c r="K48" s="8" t="s">
        <v>306</v>
      </c>
    </row>
    <row r="49" customFormat="false" ht="46.25" hidden="false" customHeight="false" outlineLevel="0" collapsed="false">
      <c r="A49" s="8" t="n">
        <v>48</v>
      </c>
      <c r="B49" s="8" t="s">
        <v>307</v>
      </c>
      <c r="C49" s="8" t="s">
        <v>308</v>
      </c>
      <c r="D49" s="8" t="n">
        <v>2023</v>
      </c>
      <c r="E49" s="8" t="s">
        <v>51</v>
      </c>
      <c r="F49" s="8" t="s">
        <v>309</v>
      </c>
      <c r="G49" s="8" t="s">
        <v>198</v>
      </c>
      <c r="H49" s="8" t="s">
        <v>275</v>
      </c>
      <c r="I49" s="8" t="s">
        <v>15</v>
      </c>
      <c r="J49" s="8" t="s">
        <v>310</v>
      </c>
      <c r="K49" s="8" t="s">
        <v>311</v>
      </c>
    </row>
    <row r="50" customFormat="false" ht="46.25" hidden="false" customHeight="false" outlineLevel="0" collapsed="false">
      <c r="A50" s="8" t="n">
        <v>49</v>
      </c>
      <c r="B50" s="8" t="s">
        <v>312</v>
      </c>
      <c r="C50" s="8" t="s">
        <v>313</v>
      </c>
      <c r="D50" s="8" t="n">
        <v>2022</v>
      </c>
      <c r="E50" s="8" t="s">
        <v>235</v>
      </c>
      <c r="F50" s="8" t="s">
        <v>314</v>
      </c>
      <c r="G50" s="8" t="s">
        <v>198</v>
      </c>
      <c r="H50" s="8" t="s">
        <v>275</v>
      </c>
      <c r="I50" s="8" t="s">
        <v>15</v>
      </c>
      <c r="J50" s="8" t="s">
        <v>315</v>
      </c>
      <c r="K50" s="8" t="s">
        <v>316</v>
      </c>
    </row>
    <row r="51" customFormat="false" ht="46.25" hidden="false" customHeight="false" outlineLevel="0" collapsed="false">
      <c r="A51" s="8" t="n">
        <v>50</v>
      </c>
      <c r="B51" s="8" t="s">
        <v>317</v>
      </c>
      <c r="C51" s="8" t="s">
        <v>313</v>
      </c>
      <c r="D51" s="8" t="n">
        <v>2022</v>
      </c>
      <c r="E51" s="8" t="s">
        <v>241</v>
      </c>
      <c r="F51" s="8" t="s">
        <v>318</v>
      </c>
      <c r="G51" s="8" t="s">
        <v>198</v>
      </c>
      <c r="H51" s="8" t="s">
        <v>275</v>
      </c>
      <c r="I51" s="8" t="s">
        <v>15</v>
      </c>
      <c r="J51" s="8" t="s">
        <v>319</v>
      </c>
      <c r="K51" s="8" t="s">
        <v>320</v>
      </c>
    </row>
    <row r="52" customFormat="false" ht="46.25" hidden="false" customHeight="false" outlineLevel="0" collapsed="false">
      <c r="A52" s="8" t="n">
        <v>51</v>
      </c>
      <c r="B52" s="8" t="s">
        <v>321</v>
      </c>
      <c r="C52" s="8" t="s">
        <v>322</v>
      </c>
      <c r="D52" s="8" t="n">
        <v>2019</v>
      </c>
      <c r="E52" s="8" t="s">
        <v>148</v>
      </c>
      <c r="F52" s="8" t="s">
        <v>323</v>
      </c>
      <c r="G52" s="8" t="s">
        <v>198</v>
      </c>
      <c r="H52" s="8" t="s">
        <v>275</v>
      </c>
      <c r="I52" s="8" t="s">
        <v>15</v>
      </c>
      <c r="J52" s="8" t="s">
        <v>324</v>
      </c>
      <c r="K52" s="8" t="s">
        <v>325</v>
      </c>
    </row>
    <row r="53" customFormat="false" ht="46.25" hidden="false" customHeight="false" outlineLevel="0" collapsed="false">
      <c r="A53" s="8" t="n">
        <v>52</v>
      </c>
      <c r="B53" s="8" t="s">
        <v>326</v>
      </c>
      <c r="C53" s="8" t="s">
        <v>327</v>
      </c>
      <c r="D53" s="8" t="n">
        <v>2020</v>
      </c>
      <c r="E53" s="8" t="s">
        <v>51</v>
      </c>
      <c r="F53" s="8" t="s">
        <v>328</v>
      </c>
      <c r="G53" s="8" t="s">
        <v>198</v>
      </c>
      <c r="H53" s="8" t="s">
        <v>275</v>
      </c>
      <c r="I53" s="8" t="s">
        <v>15</v>
      </c>
      <c r="J53" s="8" t="s">
        <v>329</v>
      </c>
      <c r="K53" s="8" t="s">
        <v>330</v>
      </c>
    </row>
    <row r="54" customFormat="false" ht="46.25" hidden="false" customHeight="false" outlineLevel="0" collapsed="false">
      <c r="A54" s="8" t="n">
        <v>53</v>
      </c>
      <c r="B54" s="8" t="s">
        <v>331</v>
      </c>
      <c r="C54" s="8" t="s">
        <v>332</v>
      </c>
      <c r="D54" s="8" t="n">
        <v>2021</v>
      </c>
      <c r="E54" s="8" t="s">
        <v>51</v>
      </c>
      <c r="F54" s="8" t="s">
        <v>333</v>
      </c>
      <c r="G54" s="8" t="s">
        <v>198</v>
      </c>
      <c r="H54" s="8" t="s">
        <v>275</v>
      </c>
      <c r="I54" s="8" t="s">
        <v>15</v>
      </c>
      <c r="J54" s="8" t="s">
        <v>334</v>
      </c>
      <c r="K54" s="8" t="s">
        <v>335</v>
      </c>
    </row>
    <row r="55" customFormat="false" ht="46.25" hidden="false" customHeight="false" outlineLevel="0" collapsed="false">
      <c r="A55" s="8" t="n">
        <v>54</v>
      </c>
      <c r="B55" s="8" t="s">
        <v>336</v>
      </c>
      <c r="C55" s="8" t="s">
        <v>337</v>
      </c>
      <c r="D55" s="8" t="n">
        <v>2023</v>
      </c>
      <c r="E55" s="8" t="s">
        <v>280</v>
      </c>
      <c r="F55" s="8" t="s">
        <v>338</v>
      </c>
      <c r="G55" s="8" t="s">
        <v>102</v>
      </c>
      <c r="H55" s="8" t="s">
        <v>275</v>
      </c>
      <c r="I55" s="8" t="s">
        <v>15</v>
      </c>
      <c r="J55" s="8" t="s">
        <v>339</v>
      </c>
      <c r="K55" s="8" t="s">
        <v>340</v>
      </c>
    </row>
    <row r="56" customFormat="false" ht="46.25" hidden="false" customHeight="false" outlineLevel="0" collapsed="false">
      <c r="A56" s="8" t="n">
        <v>55</v>
      </c>
      <c r="B56" s="8" t="s">
        <v>341</v>
      </c>
      <c r="C56" s="8" t="s">
        <v>342</v>
      </c>
      <c r="D56" s="8" t="n">
        <v>2025</v>
      </c>
      <c r="E56" s="8" t="s">
        <v>59</v>
      </c>
      <c r="F56" s="8" t="s">
        <v>343</v>
      </c>
      <c r="G56" s="8" t="s">
        <v>344</v>
      </c>
      <c r="H56" s="8" t="s">
        <v>275</v>
      </c>
      <c r="I56" s="8" t="s">
        <v>15</v>
      </c>
      <c r="J56" s="8" t="s">
        <v>345</v>
      </c>
      <c r="K56" s="8" t="s">
        <v>346</v>
      </c>
    </row>
    <row r="57" customFormat="false" ht="46.25" hidden="false" customHeight="false" outlineLevel="0" collapsed="false">
      <c r="A57" s="8" t="n">
        <v>56</v>
      </c>
      <c r="B57" s="8" t="s">
        <v>347</v>
      </c>
      <c r="C57" s="8" t="s">
        <v>348</v>
      </c>
      <c r="D57" s="8" t="n">
        <v>2026</v>
      </c>
      <c r="E57" s="8" t="s">
        <v>349</v>
      </c>
      <c r="F57" s="8" t="s">
        <v>350</v>
      </c>
      <c r="G57" s="8" t="s">
        <v>53</v>
      </c>
      <c r="H57" s="8" t="s">
        <v>351</v>
      </c>
      <c r="I57" s="8" t="s">
        <v>15</v>
      </c>
      <c r="J57" s="8" t="s">
        <v>352</v>
      </c>
      <c r="K57" s="8" t="s">
        <v>353</v>
      </c>
    </row>
    <row r="58" customFormat="false" ht="46.25" hidden="false" customHeight="false" outlineLevel="0" collapsed="false">
      <c r="A58" s="8" t="n">
        <v>57</v>
      </c>
      <c r="B58" s="8" t="s">
        <v>354</v>
      </c>
      <c r="C58" s="8" t="s">
        <v>355</v>
      </c>
      <c r="D58" s="8" t="n">
        <v>2024</v>
      </c>
      <c r="E58" s="8" t="s">
        <v>356</v>
      </c>
      <c r="F58" s="8" t="s">
        <v>357</v>
      </c>
      <c r="G58" s="8" t="s">
        <v>53</v>
      </c>
      <c r="H58" s="8" t="s">
        <v>351</v>
      </c>
      <c r="I58" s="8" t="s">
        <v>15</v>
      </c>
      <c r="J58" s="8" t="s">
        <v>358</v>
      </c>
      <c r="K58" s="8" t="s">
        <v>359</v>
      </c>
    </row>
    <row r="59" customFormat="false" ht="46.25" hidden="false" customHeight="false" outlineLevel="0" collapsed="false">
      <c r="A59" s="8" t="n">
        <v>58</v>
      </c>
      <c r="B59" s="8" t="s">
        <v>360</v>
      </c>
      <c r="C59" s="8" t="s">
        <v>361</v>
      </c>
      <c r="D59" s="8" t="n">
        <v>2023</v>
      </c>
      <c r="E59" s="8" t="s">
        <v>362</v>
      </c>
      <c r="F59" s="8" t="s">
        <v>363</v>
      </c>
      <c r="G59" s="8" t="s">
        <v>102</v>
      </c>
      <c r="H59" s="8" t="s">
        <v>351</v>
      </c>
      <c r="I59" s="8" t="s">
        <v>15</v>
      </c>
      <c r="J59" s="8" t="s">
        <v>364</v>
      </c>
      <c r="K59" s="8" t="s">
        <v>365</v>
      </c>
    </row>
    <row r="60" customFormat="false" ht="46.25" hidden="false" customHeight="false" outlineLevel="0" collapsed="false">
      <c r="A60" s="8" t="n">
        <v>59</v>
      </c>
      <c r="B60" s="8" t="s">
        <v>366</v>
      </c>
      <c r="C60" s="8" t="s">
        <v>367</v>
      </c>
      <c r="D60" s="8" t="n">
        <v>2023</v>
      </c>
      <c r="E60" s="8" t="s">
        <v>235</v>
      </c>
      <c r="F60" s="8" t="s">
        <v>368</v>
      </c>
      <c r="G60" s="8" t="s">
        <v>102</v>
      </c>
      <c r="H60" s="8" t="s">
        <v>351</v>
      </c>
      <c r="I60" s="8" t="s">
        <v>15</v>
      </c>
      <c r="J60" s="8" t="s">
        <v>369</v>
      </c>
      <c r="K60" s="8" t="s">
        <v>370</v>
      </c>
    </row>
    <row r="61" customFormat="false" ht="46.25" hidden="false" customHeight="false" outlineLevel="0" collapsed="false">
      <c r="A61" s="8" t="n">
        <v>60</v>
      </c>
      <c r="B61" s="8" t="s">
        <v>371</v>
      </c>
      <c r="C61" s="8" t="s">
        <v>372</v>
      </c>
      <c r="D61" s="8" t="n">
        <v>2012</v>
      </c>
      <c r="E61" s="8" t="s">
        <v>373</v>
      </c>
      <c r="F61" s="8" t="s">
        <v>374</v>
      </c>
      <c r="G61" s="8" t="s">
        <v>344</v>
      </c>
      <c r="H61" s="8" t="s">
        <v>351</v>
      </c>
      <c r="I61" s="8" t="s">
        <v>15</v>
      </c>
      <c r="J61" s="8" t="s">
        <v>375</v>
      </c>
      <c r="K61" s="8" t="s">
        <v>376</v>
      </c>
    </row>
    <row r="62" customFormat="false" ht="46.25" hidden="false" customHeight="false" outlineLevel="0" collapsed="false">
      <c r="A62" s="8" t="n">
        <v>61</v>
      </c>
      <c r="B62" s="8" t="s">
        <v>377</v>
      </c>
      <c r="C62" s="8" t="s">
        <v>378</v>
      </c>
      <c r="D62" s="8" t="n">
        <v>2020</v>
      </c>
      <c r="E62" s="8" t="s">
        <v>379</v>
      </c>
      <c r="F62" s="8" t="s">
        <v>380</v>
      </c>
      <c r="G62" s="8" t="s">
        <v>344</v>
      </c>
      <c r="H62" s="8" t="s">
        <v>351</v>
      </c>
      <c r="I62" s="8" t="s">
        <v>15</v>
      </c>
      <c r="J62" s="8" t="s">
        <v>381</v>
      </c>
      <c r="K62" s="8" t="s">
        <v>382</v>
      </c>
    </row>
    <row r="63" customFormat="false" ht="46.25" hidden="false" customHeight="false" outlineLevel="0" collapsed="false">
      <c r="A63" s="8" t="n">
        <v>62</v>
      </c>
      <c r="B63" s="8" t="s">
        <v>383</v>
      </c>
      <c r="C63" s="8" t="s">
        <v>355</v>
      </c>
      <c r="D63" s="8" t="n">
        <v>2023</v>
      </c>
      <c r="E63" s="8" t="s">
        <v>384</v>
      </c>
      <c r="F63" s="8" t="s">
        <v>385</v>
      </c>
      <c r="G63" s="8" t="s">
        <v>344</v>
      </c>
      <c r="H63" s="8" t="s">
        <v>351</v>
      </c>
      <c r="I63" s="8" t="s">
        <v>15</v>
      </c>
      <c r="J63" s="8" t="s">
        <v>386</v>
      </c>
      <c r="K63" s="8" t="s">
        <v>387</v>
      </c>
    </row>
    <row r="64" customFormat="false" ht="46.25" hidden="false" customHeight="false" outlineLevel="0" collapsed="false">
      <c r="A64" s="8" t="n">
        <v>63</v>
      </c>
      <c r="B64" s="8" t="s">
        <v>388</v>
      </c>
      <c r="C64" s="8" t="s">
        <v>389</v>
      </c>
      <c r="D64" s="8" t="n">
        <v>2024</v>
      </c>
      <c r="E64" s="8" t="s">
        <v>241</v>
      </c>
      <c r="F64" s="8" t="s">
        <v>390</v>
      </c>
      <c r="G64" s="8" t="s">
        <v>344</v>
      </c>
      <c r="H64" s="8" t="s">
        <v>351</v>
      </c>
      <c r="I64" s="8" t="s">
        <v>15</v>
      </c>
      <c r="J64" s="8" t="s">
        <v>391</v>
      </c>
      <c r="K64" s="8" t="s">
        <v>392</v>
      </c>
    </row>
    <row r="65" customFormat="false" ht="46.25" hidden="false" customHeight="false" outlineLevel="0" collapsed="false">
      <c r="A65" s="8" t="n">
        <v>64</v>
      </c>
      <c r="B65" s="8" t="s">
        <v>393</v>
      </c>
      <c r="C65" s="8" t="s">
        <v>394</v>
      </c>
      <c r="D65" s="8" t="n">
        <v>2016</v>
      </c>
      <c r="E65" s="8" t="s">
        <v>51</v>
      </c>
      <c r="F65" s="8" t="s">
        <v>395</v>
      </c>
      <c r="G65" s="8" t="s">
        <v>344</v>
      </c>
      <c r="H65" s="8" t="s">
        <v>351</v>
      </c>
      <c r="I65" s="8" t="s">
        <v>15</v>
      </c>
      <c r="J65" s="8" t="s">
        <v>396</v>
      </c>
      <c r="K65" s="8" t="s">
        <v>397</v>
      </c>
    </row>
    <row r="66" customFormat="false" ht="46.25" hidden="false" customHeight="false" outlineLevel="0" collapsed="false">
      <c r="A66" s="8" t="n">
        <v>65</v>
      </c>
      <c r="B66" s="8" t="s">
        <v>398</v>
      </c>
      <c r="C66" s="8" t="s">
        <v>399</v>
      </c>
      <c r="D66" s="8" t="n">
        <v>2025</v>
      </c>
      <c r="E66" s="8" t="s">
        <v>400</v>
      </c>
      <c r="F66" s="8" t="s">
        <v>401</v>
      </c>
      <c r="G66" s="8" t="s">
        <v>344</v>
      </c>
      <c r="H66" s="8" t="s">
        <v>351</v>
      </c>
      <c r="I66" s="8" t="s">
        <v>15</v>
      </c>
      <c r="J66" s="8" t="s">
        <v>402</v>
      </c>
      <c r="K66" s="8" t="s">
        <v>403</v>
      </c>
    </row>
    <row r="67" customFormat="false" ht="46.25" hidden="false" customHeight="false" outlineLevel="0" collapsed="false">
      <c r="A67" s="8" t="n">
        <v>66</v>
      </c>
      <c r="B67" s="8" t="s">
        <v>404</v>
      </c>
      <c r="C67" s="8" t="s">
        <v>405</v>
      </c>
      <c r="D67" s="8" t="n">
        <v>2019</v>
      </c>
      <c r="E67" s="8" t="s">
        <v>406</v>
      </c>
      <c r="F67" s="8" t="s">
        <v>407</v>
      </c>
      <c r="G67" s="8" t="s">
        <v>344</v>
      </c>
      <c r="H67" s="8" t="s">
        <v>351</v>
      </c>
      <c r="I67" s="8" t="s">
        <v>15</v>
      </c>
      <c r="J67" s="8" t="s">
        <v>408</v>
      </c>
      <c r="K67" s="8" t="s">
        <v>409</v>
      </c>
    </row>
    <row r="68" customFormat="false" ht="46.25" hidden="false" customHeight="false" outlineLevel="0" collapsed="false">
      <c r="A68" s="8" t="n">
        <v>67</v>
      </c>
      <c r="B68" s="8" t="s">
        <v>410</v>
      </c>
      <c r="C68" s="8" t="s">
        <v>411</v>
      </c>
      <c r="D68" s="8" t="n">
        <v>2021</v>
      </c>
      <c r="E68" s="8" t="s">
        <v>412</v>
      </c>
      <c r="F68" s="8" t="s">
        <v>413</v>
      </c>
      <c r="G68" s="8" t="s">
        <v>344</v>
      </c>
      <c r="H68" s="8" t="s">
        <v>351</v>
      </c>
      <c r="I68" s="8" t="s">
        <v>15</v>
      </c>
      <c r="J68" s="8" t="s">
        <v>414</v>
      </c>
      <c r="K68" s="8" t="s">
        <v>415</v>
      </c>
    </row>
    <row r="69" customFormat="false" ht="46.25" hidden="false" customHeight="false" outlineLevel="0" collapsed="false">
      <c r="A69" s="8" t="n">
        <v>68</v>
      </c>
      <c r="B69" s="8" t="s">
        <v>416</v>
      </c>
      <c r="C69" s="8" t="s">
        <v>417</v>
      </c>
      <c r="D69" s="8" t="n">
        <v>2023</v>
      </c>
      <c r="E69" s="8" t="s">
        <v>51</v>
      </c>
      <c r="F69" s="8" t="s">
        <v>418</v>
      </c>
      <c r="G69" s="8" t="s">
        <v>344</v>
      </c>
      <c r="H69" s="8" t="s">
        <v>351</v>
      </c>
      <c r="I69" s="8" t="s">
        <v>15</v>
      </c>
      <c r="J69" s="8" t="s">
        <v>419</v>
      </c>
      <c r="K69" s="8" t="s">
        <v>420</v>
      </c>
    </row>
    <row r="70" customFormat="false" ht="46.25" hidden="false" customHeight="false" outlineLevel="0" collapsed="false">
      <c r="A70" s="8" t="n">
        <v>69</v>
      </c>
      <c r="B70" s="8" t="s">
        <v>421</v>
      </c>
      <c r="C70" s="8" t="s">
        <v>422</v>
      </c>
      <c r="D70" s="8" t="n">
        <v>2025</v>
      </c>
      <c r="E70" s="8" t="s">
        <v>423</v>
      </c>
      <c r="F70" s="8" t="s">
        <v>424</v>
      </c>
      <c r="G70" s="8" t="s">
        <v>344</v>
      </c>
      <c r="H70" s="8" t="s">
        <v>351</v>
      </c>
      <c r="I70" s="8" t="s">
        <v>15</v>
      </c>
      <c r="J70" s="8" t="s">
        <v>425</v>
      </c>
      <c r="K70" s="8" t="s">
        <v>426</v>
      </c>
    </row>
    <row r="71" customFormat="false" ht="46.25" hidden="false" customHeight="false" outlineLevel="0" collapsed="false">
      <c r="A71" s="8" t="n">
        <v>70</v>
      </c>
      <c r="B71" s="8" t="s">
        <v>427</v>
      </c>
      <c r="C71" s="8" t="s">
        <v>428</v>
      </c>
      <c r="D71" s="8" t="n">
        <v>2023</v>
      </c>
      <c r="E71" s="8" t="s">
        <v>429</v>
      </c>
      <c r="F71" s="8" t="s">
        <v>430</v>
      </c>
      <c r="G71" s="8" t="s">
        <v>84</v>
      </c>
      <c r="H71" s="8" t="s">
        <v>351</v>
      </c>
      <c r="I71" s="8" t="s">
        <v>15</v>
      </c>
      <c r="J71" s="8" t="s">
        <v>431</v>
      </c>
      <c r="K71" s="8" t="s">
        <v>432</v>
      </c>
    </row>
    <row r="72" customFormat="false" ht="46.25" hidden="false" customHeight="false" outlineLevel="0" collapsed="false">
      <c r="A72" s="8" t="n">
        <v>71</v>
      </c>
      <c r="B72" s="8" t="s">
        <v>433</v>
      </c>
      <c r="C72" s="8" t="s">
        <v>99</v>
      </c>
      <c r="D72" s="8" t="n">
        <v>2020</v>
      </c>
      <c r="E72" s="8" t="s">
        <v>51</v>
      </c>
      <c r="F72" s="8" t="s">
        <v>434</v>
      </c>
      <c r="G72" s="8" t="s">
        <v>344</v>
      </c>
      <c r="H72" s="8" t="s">
        <v>351</v>
      </c>
      <c r="I72" s="8" t="s">
        <v>15</v>
      </c>
      <c r="J72" s="8" t="s">
        <v>435</v>
      </c>
      <c r="K72" s="8" t="s">
        <v>436</v>
      </c>
    </row>
  </sheetData>
  <autoFilter ref="A1:K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6"/>
    <col collapsed="false" customWidth="true" hidden="false" outlineLevel="0" max="5" min="5" style="0" width="24"/>
    <col collapsed="false" customWidth="true" hidden="false" outlineLevel="0" max="6" min="6" style="0" width="46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52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</row>
    <row r="2" customFormat="false" ht="46.25" hidden="false" customHeight="false" outlineLevel="0" collapsed="false">
      <c r="A2" s="10" t="n">
        <v>1</v>
      </c>
      <c r="B2" s="10" t="s">
        <v>437</v>
      </c>
      <c r="C2" s="10" t="s">
        <v>438</v>
      </c>
      <c r="D2" s="10" t="n">
        <v>2019</v>
      </c>
      <c r="E2" s="10" t="s">
        <v>71</v>
      </c>
      <c r="F2" s="10" t="s">
        <v>439</v>
      </c>
      <c r="G2" s="10" t="s">
        <v>53</v>
      </c>
      <c r="H2" s="10" t="s">
        <v>440</v>
      </c>
      <c r="I2" s="10" t="s">
        <v>17</v>
      </c>
      <c r="J2" s="10" t="s">
        <v>441</v>
      </c>
      <c r="K2" s="10" t="s">
        <v>442</v>
      </c>
    </row>
    <row r="3" customFormat="false" ht="46.25" hidden="false" customHeight="false" outlineLevel="0" collapsed="false">
      <c r="A3" s="10" t="n">
        <v>2</v>
      </c>
      <c r="B3" s="10" t="s">
        <v>443</v>
      </c>
      <c r="C3" s="10" t="s">
        <v>444</v>
      </c>
      <c r="D3" s="10" t="n">
        <v>2020</v>
      </c>
      <c r="E3" s="10" t="s">
        <v>280</v>
      </c>
      <c r="F3" s="10" t="s">
        <v>445</v>
      </c>
      <c r="G3" s="10" t="s">
        <v>102</v>
      </c>
      <c r="H3" s="10" t="s">
        <v>440</v>
      </c>
      <c r="I3" s="10" t="s">
        <v>17</v>
      </c>
      <c r="J3" s="10" t="s">
        <v>446</v>
      </c>
      <c r="K3" s="10" t="s">
        <v>447</v>
      </c>
    </row>
    <row r="4" customFormat="false" ht="46.25" hidden="false" customHeight="false" outlineLevel="0" collapsed="false">
      <c r="A4" s="10" t="n">
        <v>3</v>
      </c>
      <c r="B4" s="10" t="s">
        <v>448</v>
      </c>
      <c r="C4" s="10" t="s">
        <v>449</v>
      </c>
      <c r="D4" s="10" t="n">
        <v>2023</v>
      </c>
      <c r="E4" s="10" t="s">
        <v>51</v>
      </c>
      <c r="F4" s="10" t="s">
        <v>450</v>
      </c>
      <c r="G4" s="10" t="s">
        <v>198</v>
      </c>
      <c r="H4" s="10" t="s">
        <v>440</v>
      </c>
      <c r="I4" s="10" t="s">
        <v>17</v>
      </c>
      <c r="J4" s="10" t="s">
        <v>451</v>
      </c>
      <c r="K4" s="10" t="s">
        <v>452</v>
      </c>
    </row>
    <row r="5" customFormat="false" ht="46.25" hidden="false" customHeight="false" outlineLevel="0" collapsed="false">
      <c r="A5" s="10" t="n">
        <v>4</v>
      </c>
      <c r="B5" s="10" t="s">
        <v>453</v>
      </c>
      <c r="C5" s="10" t="s">
        <v>454</v>
      </c>
      <c r="D5" s="10" t="n">
        <v>2024</v>
      </c>
      <c r="E5" s="10" t="s">
        <v>51</v>
      </c>
      <c r="F5" s="10" t="s">
        <v>455</v>
      </c>
      <c r="G5" s="10" t="s">
        <v>198</v>
      </c>
      <c r="H5" s="10" t="s">
        <v>440</v>
      </c>
      <c r="I5" s="10" t="s">
        <v>17</v>
      </c>
      <c r="J5" s="10" t="s">
        <v>456</v>
      </c>
      <c r="K5" s="10" t="s">
        <v>457</v>
      </c>
    </row>
    <row r="6" customFormat="false" ht="46.25" hidden="false" customHeight="false" outlineLevel="0" collapsed="false">
      <c r="A6" s="10" t="n">
        <v>5</v>
      </c>
      <c r="B6" s="10" t="s">
        <v>458</v>
      </c>
      <c r="C6" s="10" t="s">
        <v>299</v>
      </c>
      <c r="D6" s="10" t="n">
        <v>2021</v>
      </c>
      <c r="E6" s="10" t="s">
        <v>51</v>
      </c>
      <c r="F6" s="10" t="s">
        <v>459</v>
      </c>
      <c r="G6" s="10" t="s">
        <v>344</v>
      </c>
      <c r="H6" s="10" t="s">
        <v>440</v>
      </c>
      <c r="I6" s="10" t="s">
        <v>17</v>
      </c>
      <c r="J6" s="10" t="s">
        <v>460</v>
      </c>
      <c r="K6" s="10" t="s">
        <v>461</v>
      </c>
    </row>
    <row r="7" customFormat="false" ht="46.25" hidden="false" customHeight="false" outlineLevel="0" collapsed="false">
      <c r="A7" s="10" t="n">
        <v>6</v>
      </c>
      <c r="B7" s="10" t="s">
        <v>462</v>
      </c>
      <c r="C7" s="10" t="s">
        <v>463</v>
      </c>
      <c r="D7" s="10" t="n">
        <v>2025</v>
      </c>
      <c r="E7" s="10" t="s">
        <v>464</v>
      </c>
      <c r="F7" s="10" t="s">
        <v>465</v>
      </c>
      <c r="G7" s="10" t="s">
        <v>344</v>
      </c>
      <c r="H7" s="10" t="s">
        <v>440</v>
      </c>
      <c r="I7" s="10" t="s">
        <v>17</v>
      </c>
      <c r="J7" s="10" t="s">
        <v>466</v>
      </c>
      <c r="K7" s="10" t="s">
        <v>467</v>
      </c>
    </row>
    <row r="8" customFormat="false" ht="46.25" hidden="false" customHeight="false" outlineLevel="0" collapsed="false">
      <c r="A8" s="10" t="n">
        <v>7</v>
      </c>
      <c r="B8" s="10" t="s">
        <v>468</v>
      </c>
      <c r="C8" s="10" t="s">
        <v>355</v>
      </c>
      <c r="D8" s="10" t="n">
        <v>2023</v>
      </c>
      <c r="E8" s="10" t="s">
        <v>241</v>
      </c>
      <c r="F8" s="10" t="s">
        <v>469</v>
      </c>
      <c r="G8" s="10" t="s">
        <v>344</v>
      </c>
      <c r="H8" s="10" t="s">
        <v>440</v>
      </c>
      <c r="I8" s="10" t="s">
        <v>470</v>
      </c>
      <c r="J8" s="10" t="s">
        <v>471</v>
      </c>
      <c r="K8" s="10" t="s">
        <v>472</v>
      </c>
    </row>
    <row r="9" customFormat="false" ht="46.25" hidden="false" customHeight="false" outlineLevel="0" collapsed="false">
      <c r="A9" s="10" t="n">
        <v>8</v>
      </c>
      <c r="B9" s="10" t="s">
        <v>473</v>
      </c>
      <c r="C9" s="10" t="s">
        <v>355</v>
      </c>
      <c r="D9" s="10" t="n">
        <v>2022</v>
      </c>
      <c r="E9" s="10" t="s">
        <v>474</v>
      </c>
      <c r="F9" s="10" t="s">
        <v>475</v>
      </c>
      <c r="G9" s="10" t="s">
        <v>344</v>
      </c>
      <c r="H9" s="10" t="s">
        <v>440</v>
      </c>
      <c r="I9" s="10" t="s">
        <v>470</v>
      </c>
      <c r="J9" s="10" t="s">
        <v>476</v>
      </c>
      <c r="K9" s="10" t="s">
        <v>477</v>
      </c>
    </row>
    <row r="10" customFormat="false" ht="46.25" hidden="false" customHeight="false" outlineLevel="0" collapsed="false">
      <c r="A10" s="10" t="n">
        <v>9</v>
      </c>
      <c r="B10" s="10" t="s">
        <v>478</v>
      </c>
      <c r="C10" s="10" t="s">
        <v>355</v>
      </c>
      <c r="D10" s="10" t="n">
        <v>2023</v>
      </c>
      <c r="E10" s="10" t="s">
        <v>241</v>
      </c>
      <c r="F10" s="10" t="s">
        <v>479</v>
      </c>
      <c r="G10" s="10" t="s">
        <v>344</v>
      </c>
      <c r="H10" s="10" t="s">
        <v>440</v>
      </c>
      <c r="I10" s="10" t="s">
        <v>470</v>
      </c>
      <c r="J10" s="10" t="s">
        <v>480</v>
      </c>
      <c r="K10" s="10" t="s">
        <v>481</v>
      </c>
    </row>
    <row r="11" customFormat="false" ht="46.25" hidden="false" customHeight="false" outlineLevel="0" collapsed="false">
      <c r="A11" s="10" t="n">
        <v>10</v>
      </c>
      <c r="B11" s="10" t="s">
        <v>482</v>
      </c>
      <c r="C11" s="10" t="s">
        <v>483</v>
      </c>
      <c r="D11" s="10" t="n">
        <v>2020</v>
      </c>
      <c r="E11" s="10" t="s">
        <v>484</v>
      </c>
      <c r="F11" s="10" t="s">
        <v>485</v>
      </c>
      <c r="G11" s="10" t="s">
        <v>344</v>
      </c>
      <c r="H11" s="10" t="s">
        <v>440</v>
      </c>
      <c r="I11" s="10" t="s">
        <v>470</v>
      </c>
      <c r="J11" s="10" t="s">
        <v>486</v>
      </c>
      <c r="K11" s="10" t="s">
        <v>487</v>
      </c>
    </row>
    <row r="12" customFormat="false" ht="46.25" hidden="false" customHeight="false" outlineLevel="0" collapsed="false">
      <c r="A12" s="10" t="n">
        <v>11</v>
      </c>
      <c r="B12" s="10" t="s">
        <v>488</v>
      </c>
      <c r="C12" s="10" t="s">
        <v>489</v>
      </c>
      <c r="D12" s="10" t="n">
        <v>2020</v>
      </c>
      <c r="E12" s="10" t="s">
        <v>59</v>
      </c>
      <c r="F12" s="10" t="s">
        <v>490</v>
      </c>
      <c r="G12" s="10" t="s">
        <v>84</v>
      </c>
      <c r="H12" s="10" t="s">
        <v>440</v>
      </c>
      <c r="I12" s="10" t="s">
        <v>491</v>
      </c>
      <c r="J12" s="10" t="s">
        <v>492</v>
      </c>
      <c r="K12" s="10" t="s">
        <v>493</v>
      </c>
    </row>
  </sheetData>
  <autoFilter ref="A1:K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494</v>
      </c>
    </row>
    <row r="3" customFormat="false" ht="23.85" hidden="false" customHeight="false" outlineLevel="0" collapsed="false">
      <c r="A3" s="7" t="s">
        <v>45</v>
      </c>
      <c r="B3" s="7" t="s">
        <v>495</v>
      </c>
      <c r="C3" s="7" t="s">
        <v>496</v>
      </c>
      <c r="D3" s="7" t="s">
        <v>497</v>
      </c>
    </row>
    <row r="4" customFormat="false" ht="15" hidden="false" customHeight="false" outlineLevel="0" collapsed="false">
      <c r="A4" s="11" t="s">
        <v>54</v>
      </c>
      <c r="B4" s="11" t="n">
        <v>26</v>
      </c>
      <c r="C4" s="11" t="n">
        <v>9</v>
      </c>
      <c r="D4" s="12" t="s">
        <v>498</v>
      </c>
    </row>
    <row r="5" customFormat="false" ht="15" hidden="false" customHeight="false" outlineLevel="0" collapsed="false">
      <c r="A5" s="11" t="s">
        <v>199</v>
      </c>
      <c r="B5" s="11" t="n">
        <v>10</v>
      </c>
      <c r="C5" s="11" t="n">
        <v>1</v>
      </c>
      <c r="D5" s="12" t="s">
        <v>498</v>
      </c>
    </row>
    <row r="6" customFormat="false" ht="15" hidden="false" customHeight="false" outlineLevel="0" collapsed="false">
      <c r="A6" s="11" t="s">
        <v>275</v>
      </c>
      <c r="B6" s="11" t="n">
        <v>15</v>
      </c>
      <c r="C6" s="11" t="n">
        <v>6</v>
      </c>
      <c r="D6" s="12" t="s">
        <v>498</v>
      </c>
    </row>
    <row r="7" customFormat="false" ht="15" hidden="false" customHeight="false" outlineLevel="0" collapsed="false">
      <c r="A7" s="11" t="s">
        <v>254</v>
      </c>
      <c r="B7" s="11" t="n">
        <v>4</v>
      </c>
      <c r="C7" s="11" t="n">
        <v>0</v>
      </c>
      <c r="D7" s="12" t="s">
        <v>498</v>
      </c>
    </row>
    <row r="8" customFormat="false" ht="15" hidden="false" customHeight="false" outlineLevel="0" collapsed="false">
      <c r="A8" s="11" t="s">
        <v>351</v>
      </c>
      <c r="B8" s="11" t="n">
        <v>16</v>
      </c>
      <c r="C8" s="11" t="n">
        <v>0</v>
      </c>
      <c r="D8" s="12" t="s">
        <v>498</v>
      </c>
    </row>
    <row r="9" customFormat="false" ht="15" hidden="false" customHeight="false" outlineLevel="0" collapsed="false">
      <c r="A9" s="13" t="s">
        <v>499</v>
      </c>
      <c r="B9" s="13" t="n">
        <f aca="false">SUM(B4:B8)</f>
        <v>71</v>
      </c>
      <c r="C9" s="13" t="n">
        <f aca="false">SUM(C4:C8)</f>
        <v>16</v>
      </c>
      <c r="D9" s="14"/>
    </row>
    <row r="11" customFormat="false" ht="23.85" hidden="false" customHeight="true" outlineLevel="0" collapsed="false">
      <c r="A11" s="15" t="s">
        <v>500</v>
      </c>
      <c r="B11" s="15"/>
      <c r="C11" s="15"/>
      <c r="D11" s="15"/>
      <c r="E11" s="15"/>
      <c r="F11" s="15"/>
    </row>
  </sheetData>
  <mergeCells count="1"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2026-06-14T13:49:08Z</dcterms:created>
  <dc:creator>openpyxl</dc:creator>
  <dc:description/>
  <dc:language>en-US</dc:language>
  <cp:lastModifiedBy/>
  <dcterms:modified xsi:type="dcterms:W3CDTF">2026-06-14T13:49:08Z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